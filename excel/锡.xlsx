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6" autoFilterDateGrouping="1"/>
  </bookViews>
  <sheets>
    <sheet xmlns:r="http://schemas.openxmlformats.org/officeDocument/2006/relationships" name="马来西亚MSC（锭）" sheetId="1" state="visible" r:id="rId1"/>
    <sheet xmlns:r="http://schemas.openxmlformats.org/officeDocument/2006/relationships" name="Alphamin" sheetId="2" state="visible" r:id="rId2"/>
    <sheet xmlns:r="http://schemas.openxmlformats.org/officeDocument/2006/relationships" name="Metals X" sheetId="3" state="visible" r:id="rId3"/>
    <sheet xmlns:r="http://schemas.openxmlformats.org/officeDocument/2006/relationships" name="Timah" sheetId="4" state="visible" r:id="rId4"/>
    <sheet xmlns:r="http://schemas.openxmlformats.org/officeDocument/2006/relationships" name="Sheet1" sheetId="5" state="visible" r:id="rId5"/>
    <sheet xmlns:r="http://schemas.openxmlformats.org/officeDocument/2006/relationships" name="Sheet2" sheetId="6" state="visible" r:id="rId6"/>
    <sheet xmlns:r="http://schemas.openxmlformats.org/officeDocument/2006/relationships" name="Sheet3" sheetId="7" state="visible" r:id="rId7"/>
    <sheet xmlns:r="http://schemas.openxmlformats.org/officeDocument/2006/relationships" name="季度补充" sheetId="8" state="visible" r:id="rId8"/>
    <sheet xmlns:r="http://schemas.openxmlformats.org/officeDocument/2006/relationships" name="锡矿·季度产量" sheetId="9" state="visible" r:id="rId9"/>
    <sheet xmlns:r="http://schemas.openxmlformats.org/officeDocument/2006/relationships" name="精炼锡·季度产量" sheetId="10" state="visible" r:id="rId10"/>
    <sheet xmlns:r="http://schemas.openxmlformats.org/officeDocument/2006/relationships" name="更新日志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_);[Red]\(0.00\)"/>
    <numFmt numFmtId="166" formatCode="0_);[Red]\(0\)"/>
    <numFmt numFmtId="167" formatCode="0.0%"/>
  </numFmts>
  <fonts count="38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Times New Roman"/>
      <family val="1"/>
      <color theme="1"/>
      <sz val="11"/>
    </font>
    <font>
      <name val="Times New Roman"/>
      <family val="1"/>
      <color rgb="FFFF0000"/>
      <sz val="11"/>
    </font>
    <font>
      <name val="微软雅黑"/>
      <charset val="134"/>
      <family val="2"/>
      <color theme="1"/>
      <sz val="11"/>
    </font>
    <font>
      <name val="微软雅黑"/>
      <charset val="134"/>
      <family val="2"/>
      <color rgb="FF000000"/>
      <sz val="11"/>
    </font>
    <font>
      <name val="宋体"/>
      <charset val="134"/>
      <family val="1"/>
      <color theme="1"/>
      <sz val="11"/>
    </font>
    <font>
      <name val="Times New Roman"/>
      <charset val="134"/>
      <family val="1"/>
      <color theme="1"/>
      <sz val="11"/>
    </font>
    <font>
      <name val="等线"/>
      <family val="2"/>
      <color theme="1"/>
      <sz val="11"/>
      <scheme val="minor"/>
    </font>
    <font>
      <name val="Arial"/>
      <family val="2"/>
      <color theme="1"/>
      <sz val="9"/>
    </font>
    <font>
      <name val="微软雅黑"/>
      <charset val="134"/>
      <family val="2"/>
      <b val="1"/>
      <color theme="1"/>
      <sz val="9"/>
    </font>
    <font>
      <name val="Times New Roman"/>
      <family val="1"/>
      <color theme="1"/>
      <sz val="9"/>
    </font>
    <font>
      <name val="Times New Roman"/>
      <family val="1"/>
      <color theme="0"/>
      <sz val="10"/>
    </font>
    <font>
      <name val="微软雅黑"/>
      <charset val="134"/>
      <family val="2"/>
      <color theme="0"/>
      <sz val="10"/>
    </font>
    <font>
      <name val="KaiTi"/>
      <charset val="134"/>
      <family val="3"/>
      <color theme="1"/>
      <sz val="10"/>
    </font>
    <font>
      <name val="微软雅黑"/>
      <charset val="134"/>
      <family val="2"/>
      <b val="1"/>
      <color theme="1"/>
      <sz val="8"/>
    </font>
    <font>
      <name val="微软雅黑"/>
      <charset val="134"/>
      <family val="2"/>
      <color theme="1"/>
      <sz val="8"/>
    </font>
    <font>
      <name val="Times New Roman"/>
      <family val="2"/>
      <color theme="1"/>
      <sz val="11"/>
    </font>
    <font>
      <name val="Times New Roman"/>
      <family val="1"/>
      <color theme="1"/>
      <sz val="10"/>
    </font>
    <font>
      <name val="Times New Roman"/>
      <family val="1"/>
      <color theme="4"/>
      <sz val="11"/>
    </font>
    <font>
      <name val="FangSong"/>
      <charset val="134"/>
      <family val="3"/>
      <color theme="1"/>
      <sz val="10"/>
    </font>
    <font>
      <name val="Times New Roman"/>
      <family val="1"/>
      <color theme="0"/>
      <sz val="11"/>
    </font>
    <font>
      <name val="等线"/>
      <family val="2"/>
      <color theme="0"/>
      <sz val="11"/>
      <scheme val="minor"/>
    </font>
    <font>
      <name val="宋体"/>
      <charset val="134"/>
      <family val="1"/>
      <color theme="0"/>
      <sz val="11"/>
    </font>
    <font>
      <name val="Times New Roman"/>
      <family val="1"/>
      <sz val="11"/>
    </font>
    <font>
      <name val="Times New Roman"/>
      <family val="1"/>
      <sz val="10"/>
    </font>
    <font>
      <name val="Segoe UI"/>
      <family val="2"/>
      <color rgb="FF404040"/>
      <sz val="9"/>
    </font>
    <font>
      <name val="Times New Roman"/>
      <family val="1"/>
      <color rgb="FF404040"/>
      <sz val="9"/>
    </font>
    <font>
      <name val="Times New Roman"/>
      <family val="1"/>
      <color rgb="FF404040"/>
      <sz val="9"/>
    </font>
    <font>
      <name val="Times New Roman"/>
      <family val="1"/>
      <b val="1"/>
      <color rgb="FF404040"/>
      <sz val="9"/>
    </font>
    <font>
      <name val="Times New Roman"/>
      <family val="1"/>
      <color theme="0"/>
      <sz val="9"/>
    </font>
    <font>
      <name val="宋体"/>
      <charset val="134"/>
      <family val="1"/>
      <color theme="0"/>
      <sz val="10"/>
    </font>
    <font>
      <name val="微软雅黑"/>
      <charset val="134"/>
      <family val="2"/>
      <color theme="0"/>
      <sz val="9"/>
    </font>
    <font>
      <name val="微软雅黑"/>
      <charset val="134"/>
      <family val="1"/>
      <color rgb="FF404040"/>
      <sz val="9"/>
    </font>
    <font>
      <name val="Times New Roman"/>
      <charset val="134"/>
      <family val="1"/>
      <color rgb="FF404040"/>
      <sz val="9"/>
    </font>
    <font>
      <name val="Segoe UI"/>
      <family val="2"/>
      <color rgb="FF404040"/>
      <sz val="9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sz val="11"/>
    </font>
  </fonts>
  <fills count="7">
    <fill>
      <patternFill/>
    </fill>
    <fill>
      <patternFill patternType="gray125"/>
    </fill>
    <fill>
      <patternFill patternType="solid">
        <fgColor rgb="FFD7000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BBBBBB"/>
      </bottom>
      <diagonal/>
    </border>
    <border>
      <left/>
      <right/>
      <top/>
      <bottom style="medium">
        <color rgb="FFE5E5E5"/>
      </bottom>
      <diagonal/>
    </border>
  </borders>
  <cellStyleXfs count="2">
    <xf numFmtId="0" fontId="8" fillId="0" borderId="0"/>
    <xf numFmtId="9" fontId="8" fillId="0" borderId="0" applyAlignment="1">
      <alignment vertical="center"/>
    </xf>
  </cellStyleXfs>
  <cellXfs count="144">
    <xf numFmtId="0" fontId="0" fillId="0" borderId="0" pivotButton="0" quotePrefix="0" xfId="0"/>
    <xf numFmtId="0" fontId="2" fillId="0" borderId="0" pivotButton="0" quotePrefix="0" xfId="0"/>
    <xf numFmtId="164" fontId="2" fillId="0" borderId="0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  <xf numFmtId="1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10" fontId="4" fillId="0" borderId="0" applyAlignment="1" pivotButton="0" quotePrefix="0" xfId="0">
      <alignment horizontal="center"/>
    </xf>
    <xf numFmtId="9" fontId="5" fillId="0" borderId="0" applyAlignment="1" pivotButton="0" quotePrefix="0" xfId="0">
      <alignment horizontal="center"/>
    </xf>
    <xf numFmtId="9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0" fontId="5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center"/>
    </xf>
    <xf numFmtId="0" fontId="7" fillId="0" borderId="0" pivotButton="0" quotePrefix="0" xfId="0"/>
    <xf numFmtId="0" fontId="0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  <xf numFmtId="9" fontId="2" fillId="0" borderId="0" applyAlignment="1" pivotButton="0" quotePrefix="0" xfId="1">
      <alignment horizontal="center"/>
    </xf>
    <xf numFmtId="167" fontId="2" fillId="0" borderId="0" pivotButton="0" quotePrefix="0" xfId="1"/>
    <xf numFmtId="0" fontId="9" fillId="0" borderId="0" pivotButton="0" quotePrefix="0" xfId="0"/>
    <xf numFmtId="0" fontId="9" fillId="0" borderId="0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1" fillId="0" borderId="0" applyAlignment="1" pivotButton="0" quotePrefix="0" xfId="0">
      <alignment horizontal="right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167" fontId="2" fillId="0" borderId="0" applyAlignment="1" pivotButton="0" quotePrefix="0" xfId="1">
      <alignment horizontal="center"/>
    </xf>
    <xf numFmtId="0" fontId="1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7" fillId="0" borderId="0" pivotButton="0" quotePrefix="0" xfId="0"/>
    <xf numFmtId="0" fontId="19" fillId="3" borderId="0" applyAlignment="1" pivotButton="0" quotePrefix="0" xfId="0">
      <alignment horizontal="center"/>
    </xf>
    <xf numFmtId="167" fontId="12" fillId="2" borderId="0" applyAlignment="1" pivotButton="0" quotePrefix="0" xfId="1">
      <alignment horizontal="center" vertical="center"/>
    </xf>
    <xf numFmtId="167" fontId="11" fillId="0" borderId="0" applyAlignment="1" pivotButton="0" quotePrefix="0" xfId="1">
      <alignment horizontal="center"/>
    </xf>
    <xf numFmtId="167" fontId="0" fillId="0" borderId="0" pivotButton="0" quotePrefix="0" xfId="1"/>
    <xf numFmtId="167" fontId="18" fillId="0" borderId="0" applyAlignment="1" pivotButton="0" quotePrefix="0" xfId="1">
      <alignment horizontal="center"/>
    </xf>
    <xf numFmtId="0" fontId="2" fillId="0" borderId="1" applyAlignment="1" pivotButton="0" quotePrefix="0" xfId="0">
      <alignment horizontal="center" vertical="top"/>
    </xf>
    <xf numFmtId="9" fontId="2" fillId="0" borderId="1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9" fontId="2" fillId="0" borderId="6" applyAlignment="1" pivotButton="0" quotePrefix="0" xfId="1">
      <alignment horizontal="center"/>
    </xf>
    <xf numFmtId="9" fontId="2" fillId="0" borderId="7" applyAlignment="1" pivotButton="0" quotePrefix="0" xfId="1">
      <alignment horizontal="center"/>
    </xf>
    <xf numFmtId="0" fontId="21" fillId="4" borderId="3" applyAlignment="1" pivotButton="0" quotePrefix="0" xfId="0">
      <alignment horizontal="center"/>
    </xf>
    <xf numFmtId="0" fontId="21" fillId="4" borderId="2" applyAlignment="1" pivotButton="0" quotePrefix="0" xfId="0">
      <alignment horizontal="center"/>
    </xf>
    <xf numFmtId="0" fontId="22" fillId="4" borderId="2" applyAlignment="1" pivotButton="0" quotePrefix="0" xfId="0">
      <alignment horizontal="center"/>
    </xf>
    <xf numFmtId="0" fontId="23" fillId="4" borderId="2" applyAlignment="1" pivotButton="0" quotePrefix="0" xfId="0">
      <alignment horizontal="center"/>
    </xf>
    <xf numFmtId="0" fontId="21" fillId="4" borderId="8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0" xfId="0">
      <alignment horizontal="center" vertical="center"/>
    </xf>
    <xf numFmtId="167" fontId="24" fillId="0" borderId="0" applyAlignment="1" pivotButton="0" quotePrefix="0" xfId="1">
      <alignment horizontal="center" vertical="center"/>
    </xf>
    <xf numFmtId="9" fontId="24" fillId="0" borderId="0" applyAlignment="1" pivotButton="0" quotePrefix="0" xfId="1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28" fillId="5" borderId="1" applyAlignment="1" pivotButton="0" quotePrefix="0" xfId="0">
      <alignment horizontal="center" vertical="center" wrapText="1"/>
    </xf>
    <xf numFmtId="10" fontId="28" fillId="5" borderId="1" applyAlignment="1" pivotButton="0" quotePrefix="0" xfId="0">
      <alignment horizontal="center" vertical="center" wrapText="1"/>
    </xf>
    <xf numFmtId="0" fontId="27" fillId="5" borderId="5" applyAlignment="1" pivotButton="0" quotePrefix="0" xfId="0">
      <alignment horizontal="center" vertical="center" wrapText="1"/>
    </xf>
    <xf numFmtId="0" fontId="30" fillId="4" borderId="9" applyAlignment="1" pivotButton="0" quotePrefix="0" xfId="0">
      <alignment horizontal="center" vertical="center" wrapText="1"/>
    </xf>
    <xf numFmtId="0" fontId="30" fillId="4" borderId="10" applyAlignment="1" pivotButton="0" quotePrefix="0" xfId="0">
      <alignment horizontal="center" vertical="center" wrapText="1"/>
    </xf>
    <xf numFmtId="0" fontId="27" fillId="5" borderId="0" applyAlignment="1" pivotButton="0" quotePrefix="0" xfId="0">
      <alignment horizontal="center" vertical="center" wrapText="1"/>
    </xf>
    <xf numFmtId="0" fontId="28" fillId="5" borderId="0" applyAlignment="1" pivotButton="0" quotePrefix="0" xfId="0">
      <alignment horizontal="center" vertical="center" wrapText="1"/>
    </xf>
    <xf numFmtId="10" fontId="28" fillId="5" borderId="0" applyAlignment="1" pivotButton="0" quotePrefix="0" xfId="0">
      <alignment horizontal="center" vertical="center" wrapText="1"/>
    </xf>
    <xf numFmtId="0" fontId="29" fillId="5" borderId="0" applyAlignment="1" pivotButton="0" quotePrefix="0" xfId="0">
      <alignment horizontal="center" vertical="center" wrapText="1"/>
    </xf>
    <xf numFmtId="10" fontId="29" fillId="5" borderId="0" applyAlignment="1" pivotButton="0" quotePrefix="0" xfId="0">
      <alignment horizontal="center" vertical="center" wrapText="1"/>
    </xf>
    <xf numFmtId="10" fontId="27" fillId="5" borderId="0" applyAlignment="1" pivotButton="0" quotePrefix="0" xfId="0">
      <alignment horizontal="center" vertical="center" wrapText="1"/>
    </xf>
    <xf numFmtId="0" fontId="28" fillId="5" borderId="10" applyAlignment="1" pivotButton="0" quotePrefix="0" xfId="0">
      <alignment horizontal="center" vertical="center" wrapText="1"/>
    </xf>
    <xf numFmtId="10" fontId="28" fillId="5" borderId="10" applyAlignment="1" pivotButton="0" quotePrefix="0" xfId="0">
      <alignment horizontal="center" vertical="center" wrapText="1"/>
    </xf>
    <xf numFmtId="0" fontId="27" fillId="5" borderId="9" applyAlignment="1" pivotButton="0" quotePrefix="0" xfId="0">
      <alignment horizontal="center" vertical="center" wrapText="1"/>
    </xf>
    <xf numFmtId="0" fontId="27" fillId="5" borderId="4" applyAlignment="1" pivotButton="0" quotePrefix="0" xfId="0">
      <alignment horizontal="center" vertical="center" wrapText="1"/>
    </xf>
    <xf numFmtId="0" fontId="28" fillId="5" borderId="4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18" fillId="0" borderId="0" applyAlignment="1" pivotButton="0" quotePrefix="0" xfId="1">
      <alignment horizontal="center"/>
    </xf>
    <xf numFmtId="10" fontId="2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/>
    </xf>
    <xf numFmtId="0" fontId="25" fillId="0" borderId="1" applyAlignment="1" pivotButton="0" quotePrefix="0" xfId="0">
      <alignment horizontal="center"/>
    </xf>
    <xf numFmtId="167" fontId="18" fillId="0" borderId="1" applyAlignment="1" pivotButton="0" quotePrefix="0" xfId="1">
      <alignment horizontal="center"/>
    </xf>
    <xf numFmtId="0" fontId="18" fillId="0" borderId="1" applyAlignment="1" pivotButton="0" quotePrefix="0" xfId="1">
      <alignment horizontal="center"/>
    </xf>
    <xf numFmtId="0" fontId="12" fillId="4" borderId="10" applyAlignment="1" pivotButton="0" quotePrefix="0" xfId="0">
      <alignment horizontal="center" vertical="center"/>
    </xf>
    <xf numFmtId="167" fontId="12" fillId="4" borderId="10" applyAlignment="1" pivotButton="0" quotePrefix="0" xfId="1">
      <alignment horizontal="center" vertical="center"/>
    </xf>
    <xf numFmtId="0" fontId="12" fillId="4" borderId="10" applyAlignment="1" pivotButton="0" quotePrefix="0" xfId="1">
      <alignment horizontal="center" vertical="center"/>
    </xf>
    <xf numFmtId="167" fontId="31" fillId="4" borderId="10" applyAlignment="1" pivotButton="0" quotePrefix="0" xfId="1">
      <alignment horizontal="center" vertical="center"/>
    </xf>
    <xf numFmtId="0" fontId="12" fillId="4" borderId="9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/>
    </xf>
    <xf numFmtId="0" fontId="18" fillId="0" borderId="5" applyAlignment="1" pivotButton="0" quotePrefix="0" xfId="0">
      <alignment horizontal="center"/>
    </xf>
    <xf numFmtId="0" fontId="12" fillId="4" borderId="1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/>
    </xf>
    <xf numFmtId="0" fontId="20" fillId="0" borderId="7" applyAlignment="1" pivotButton="0" quotePrefix="0" xfId="0">
      <alignment horizontal="center"/>
    </xf>
    <xf numFmtId="0" fontId="32" fillId="4" borderId="11" applyAlignment="1" pivotButton="0" quotePrefix="0" xfId="0">
      <alignment horizontal="center" vertical="center" wrapText="1"/>
    </xf>
    <xf numFmtId="0" fontId="27" fillId="5" borderId="1" applyAlignment="1" pivotButton="0" quotePrefix="0" xfId="0">
      <alignment horizontal="center" vertical="center" wrapText="1"/>
    </xf>
    <xf numFmtId="0" fontId="33" fillId="5" borderId="11" applyAlignment="1" pivotButton="0" quotePrefix="0" xfId="0">
      <alignment horizontal="center" vertical="center" wrapText="1"/>
    </xf>
    <xf numFmtId="0" fontId="34" fillId="5" borderId="6" applyAlignment="1" pivotButton="0" quotePrefix="0" xfId="0">
      <alignment horizontal="center" vertical="center" wrapText="1"/>
    </xf>
    <xf numFmtId="0" fontId="33" fillId="5" borderId="6" applyAlignment="1" pivotButton="0" quotePrefix="0" xfId="0">
      <alignment horizontal="center" vertical="center" wrapText="1"/>
    </xf>
    <xf numFmtId="0" fontId="33" fillId="5" borderId="7" applyAlignment="1" pivotButton="0" quotePrefix="0" xfId="0">
      <alignment horizontal="center" vertical="center" wrapText="1"/>
    </xf>
    <xf numFmtId="0" fontId="27" fillId="5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32" fillId="4" borderId="12" applyAlignment="1" pivotButton="0" quotePrefix="0" xfId="0">
      <alignment horizontal="center" vertical="center" wrapText="1"/>
    </xf>
    <xf numFmtId="0" fontId="35" fillId="5" borderId="13" applyAlignment="1" pivotButton="0" quotePrefix="0" xfId="0">
      <alignment horizontal="left" vertical="center" wrapText="1"/>
    </xf>
    <xf numFmtId="0" fontId="35" fillId="5" borderId="14" applyAlignment="1" pivotButton="0" quotePrefix="0" xfId="0">
      <alignment vertical="center" wrapText="1"/>
    </xf>
    <xf numFmtId="0" fontId="26" fillId="5" borderId="14" applyAlignment="1" pivotButton="0" quotePrefix="0" xfId="0">
      <alignment vertical="center" wrapText="1"/>
    </xf>
    <xf numFmtId="10" fontId="35" fillId="5" borderId="14" applyAlignment="1" pivotButton="0" quotePrefix="0" xfId="0">
      <alignment vertical="center" wrapText="1"/>
    </xf>
    <xf numFmtId="10" fontId="26" fillId="5" borderId="14" applyAlignment="1" pivotButton="0" quotePrefix="0" xfId="0">
      <alignment vertical="center" wrapText="1"/>
    </xf>
    <xf numFmtId="0" fontId="32" fillId="4" borderId="8" applyAlignment="1" pivotButton="0" quotePrefix="0" xfId="0">
      <alignment horizontal="center" vertical="center" wrapText="1"/>
    </xf>
    <xf numFmtId="0" fontId="27" fillId="5" borderId="6" applyAlignment="1" pivotButton="0" quotePrefix="0" xfId="0">
      <alignment horizontal="center" vertical="center" wrapText="1"/>
    </xf>
    <xf numFmtId="0" fontId="27" fillId="5" borderId="7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/>
    </xf>
    <xf numFmtId="0" fontId="19" fillId="3" borderId="1" applyAlignment="1" pivotButton="0" quotePrefix="0" xfId="0">
      <alignment horizontal="center"/>
    </xf>
    <xf numFmtId="0" fontId="37" fillId="6" borderId="0" pivotButton="0" quotePrefix="0" xfId="0"/>
    <xf numFmtId="0" fontId="27" fillId="5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33" fillId="5" borderId="6" applyAlignment="1" pivotButton="0" quotePrefix="0" xfId="0">
      <alignment horizontal="center" vertical="center" wrapText="1"/>
    </xf>
    <xf numFmtId="0" fontId="0" fillId="0" borderId="6" pivotButton="0" quotePrefix="0" xfId="0"/>
    <xf numFmtId="164" fontId="2" fillId="0" borderId="0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167" fontId="2" fillId="0" borderId="0" pivotButton="0" quotePrefix="0" xfId="1"/>
    <xf numFmtId="167" fontId="0" fillId="0" borderId="0" pivotButton="0" quotePrefix="0" xfId="1"/>
    <xf numFmtId="167" fontId="12" fillId="4" borderId="10" applyAlignment="1" pivotButton="0" quotePrefix="0" xfId="1">
      <alignment horizontal="center" vertical="center"/>
    </xf>
    <xf numFmtId="167" fontId="31" fillId="4" borderId="10" applyAlignment="1" pivotButton="0" quotePrefix="0" xfId="1">
      <alignment horizontal="center" vertical="center"/>
    </xf>
    <xf numFmtId="167" fontId="18" fillId="0" borderId="0" applyAlignment="1" pivotButton="0" quotePrefix="0" xfId="1">
      <alignment horizontal="center"/>
    </xf>
    <xf numFmtId="167" fontId="18" fillId="0" borderId="1" applyAlignment="1" pivotButton="0" quotePrefix="0" xfId="1">
      <alignment horizontal="center"/>
    </xf>
    <xf numFmtId="167" fontId="2" fillId="0" borderId="0" applyAlignment="1" pivotButton="0" quotePrefix="0" xfId="1">
      <alignment horizontal="center"/>
    </xf>
    <xf numFmtId="167" fontId="11" fillId="0" borderId="0" applyAlignment="1" pivotButton="0" quotePrefix="0" xfId="1">
      <alignment horizontal="center"/>
    </xf>
    <xf numFmtId="167" fontId="12" fillId="2" borderId="0" applyAlignment="1" pivotButton="0" quotePrefix="0" xfId="1">
      <alignment horizontal="center" vertical="center"/>
    </xf>
    <xf numFmtId="167" fontId="24" fillId="0" borderId="0" applyAlignment="1" pivotButton="0" quotePrefix="0" xfId="1">
      <alignment horizontal="center"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Timah!$B$22</f>
              <strCache>
                <ptCount val="1"/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Timah!$A$23:$A$37</f>
              <strCache>
                <ptCount val="15"/>
                <pt idx="0">
                  <v>2026Q2</v>
                </pt>
                <pt idx="1">
                  <v>2021Q1</v>
                </pt>
                <pt idx="2">
                  <v>2021Q2</v>
                </pt>
                <pt idx="3">
                  <v>2021Q3</v>
                </pt>
                <pt idx="4">
                  <v>2021Q4</v>
                </pt>
                <pt idx="5">
                  <v>2022Q1</v>
                </pt>
                <pt idx="6">
                  <v>2022Q2</v>
                </pt>
                <pt idx="7">
                  <v>2022Q3</v>
                </pt>
                <pt idx="8">
                  <v>2022Q4</v>
                </pt>
                <pt idx="9">
                  <v>2023Q1</v>
                </pt>
                <pt idx="10">
                  <v>2023Q2</v>
                </pt>
                <pt idx="11">
                  <v>2023Q3</v>
                </pt>
                <pt idx="12">
                  <v>2023Q4</v>
                </pt>
                <pt idx="13">
                  <v>2024Q1</v>
                </pt>
                <pt idx="14">
                  <v>2024Q2</v>
                </pt>
              </strCache>
            </strRef>
          </cat>
          <val>
            <numRef>
              <f>Timah!$B$23:$B$37</f>
              <numCache>
                <formatCode>General</formatCode>
                <ptCount val="15"/>
                <pt idx="1">
                  <v>5025</v>
                </pt>
                <pt idx="2">
                  <v>6432</v>
                </pt>
                <pt idx="3">
                  <v>6472</v>
                </pt>
                <pt idx="4">
                  <v>6741</v>
                </pt>
                <pt idx="5">
                  <v>4508</v>
                </pt>
                <pt idx="6">
                  <v>5393</v>
                </pt>
                <pt idx="7">
                  <v>4601</v>
                </pt>
                <pt idx="8">
                  <v>5577</v>
                </pt>
                <pt idx="9">
                  <v>4139</v>
                </pt>
                <pt idx="10">
                  <v>3616</v>
                </pt>
                <pt idx="11">
                  <v>3446</v>
                </pt>
                <pt idx="12">
                  <v>3654</v>
                </pt>
                <pt idx="13">
                  <v>5360</v>
                </pt>
                <pt idx="14">
                  <v>4890</v>
                </pt>
              </numCache>
            </numRef>
          </val>
        </ser>
        <ser>
          <idx val="1"/>
          <order val="1"/>
          <tx>
            <strRef>
              <f>Timah!$C$22</f>
              <strCache>
                <ptCount val="1"/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Timah!$A$23:$A$37</f>
              <strCache>
                <ptCount val="15"/>
                <pt idx="0">
                  <v>2026Q2</v>
                </pt>
                <pt idx="1">
                  <v>2021Q1</v>
                </pt>
                <pt idx="2">
                  <v>2021Q2</v>
                </pt>
                <pt idx="3">
                  <v>2021Q3</v>
                </pt>
                <pt idx="4">
                  <v>2021Q4</v>
                </pt>
                <pt idx="5">
                  <v>2022Q1</v>
                </pt>
                <pt idx="6">
                  <v>2022Q2</v>
                </pt>
                <pt idx="7">
                  <v>2022Q3</v>
                </pt>
                <pt idx="8">
                  <v>2022Q4</v>
                </pt>
                <pt idx="9">
                  <v>2023Q1</v>
                </pt>
                <pt idx="10">
                  <v>2023Q2</v>
                </pt>
                <pt idx="11">
                  <v>2023Q3</v>
                </pt>
                <pt idx="12">
                  <v>2023Q4</v>
                </pt>
                <pt idx="13">
                  <v>2024Q1</v>
                </pt>
                <pt idx="14">
                  <v>2024Q2</v>
                </pt>
              </strCache>
            </strRef>
          </cat>
          <val>
            <numRef>
              <f>Timah!$C$23:$C$37</f>
              <numCache>
                <formatCode>General</formatCode>
                <ptCount val="15"/>
                <pt idx="1">
                  <v>5220</v>
                </pt>
                <pt idx="2">
                  <v>6695</v>
                </pt>
                <pt idx="3">
                  <v>7205</v>
                </pt>
                <pt idx="4">
                  <v>7345</v>
                </pt>
                <pt idx="5">
                  <v>4820</v>
                </pt>
                <pt idx="6">
                  <v>3985</v>
                </pt>
                <pt idx="7">
                  <v>5325</v>
                </pt>
                <pt idx="8">
                  <v>5695</v>
                </pt>
                <pt idx="9">
                  <v>3970</v>
                </pt>
                <pt idx="10">
                  <v>4130</v>
                </pt>
                <pt idx="11">
                  <v>3440</v>
                </pt>
                <pt idx="12">
                  <v>3800</v>
                </pt>
                <pt idx="13">
                  <v>4475</v>
                </pt>
                <pt idx="14">
                  <v>5200</v>
                </pt>
              </numCache>
            </numRef>
          </val>
        </ser>
        <ser>
          <idx val="2"/>
          <order val="2"/>
          <tx>
            <strRef>
              <f>Timah!$D$22</f>
              <strCache>
                <ptCount val="1"/>
                <pt idx="0">
                  <v>6312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Timah!$A$23:$A$37</f>
              <strCache>
                <ptCount val="15"/>
                <pt idx="0">
                  <v>2026Q2</v>
                </pt>
                <pt idx="1">
                  <v>2021Q1</v>
                </pt>
                <pt idx="2">
                  <v>2021Q2</v>
                </pt>
                <pt idx="3">
                  <v>2021Q3</v>
                </pt>
                <pt idx="4">
                  <v>2021Q4</v>
                </pt>
                <pt idx="5">
                  <v>2022Q1</v>
                </pt>
                <pt idx="6">
                  <v>2022Q2</v>
                </pt>
                <pt idx="7">
                  <v>2022Q3</v>
                </pt>
                <pt idx="8">
                  <v>2022Q4</v>
                </pt>
                <pt idx="9">
                  <v>2023Q1</v>
                </pt>
                <pt idx="10">
                  <v>2023Q2</v>
                </pt>
                <pt idx="11">
                  <v>2023Q3</v>
                </pt>
                <pt idx="12">
                  <v>2023Q4</v>
                </pt>
                <pt idx="13">
                  <v>2024Q1</v>
                </pt>
                <pt idx="14">
                  <v>2024Q2</v>
                </pt>
              </strCache>
            </strRef>
          </cat>
          <val>
            <numRef>
              <f>Timah!$D$23:$D$37</f>
              <numCache>
                <formatCode>General</formatCode>
                <ptCount val="15"/>
                <pt idx="0">
                  <v>5920</v>
                </pt>
                <pt idx="1">
                  <v>5912</v>
                </pt>
                <pt idx="2">
                  <v>6611</v>
                </pt>
                <pt idx="3">
                  <v>6536</v>
                </pt>
                <pt idx="4">
                  <v>7543</v>
                </pt>
                <pt idx="5">
                  <v>5703</v>
                </pt>
                <pt idx="6">
                  <v>4239</v>
                </pt>
                <pt idx="7">
                  <v>5383</v>
                </pt>
                <pt idx="8">
                  <v>5480</v>
                </pt>
                <pt idx="9">
                  <v>4246</v>
                </pt>
                <pt idx="10">
                  <v>4061</v>
                </pt>
                <pt idx="11">
                  <v>2793</v>
                </pt>
                <pt idx="12">
                  <v>3285</v>
                </pt>
                <pt idx="13">
                  <v>3524</v>
                </pt>
                <pt idx="14">
                  <v>4775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68508992"/>
        <axId val="490759328"/>
      </barChart>
      <catAx>
        <axId val="4685089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t/>
            </a:r>
            <a:endParaRPr lang="zh-CN"/>
          </a:p>
        </txPr>
        <crossAx val="490759328"/>
        <crosses val="autoZero"/>
        <auto val="1"/>
        <lblAlgn val="ctr"/>
        <lblOffset val="100"/>
        <noMultiLvlLbl val="0"/>
      </catAx>
      <valAx>
        <axId val="4907593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t/>
            </a:r>
            <a:endParaRPr lang="zh-CN"/>
          </a:p>
        </txPr>
        <crossAx val="46850899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r>
            <a:t/>
          </a:r>
          <a:endParaRPr lang="zh-CN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2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14</col>
      <colOff>137160</colOff>
      <row>12</row>
      <rowOff>243840</rowOff>
    </from>
    <to>
      <col>20</col>
      <colOff>510434</colOff>
      <row>33</row>
      <rowOff>160971</rowOff>
    </to>
    <pic>
      <nvPicPr>
        <cNvPr id="3" name="图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281160" y="2468880"/>
          <a:ext cx="4030874" cy="27898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6</col>
      <colOff>304800</colOff>
      <row>16</row>
      <rowOff>163830</rowOff>
    </from>
    <to>
      <col>13</col>
      <colOff>495300</colOff>
      <row>32</row>
      <rowOff>102870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261714</colOff>
      <row>16</row>
      <rowOff>114300</rowOff>
    </from>
    <to>
      <col>16</col>
      <colOff>562249</colOff>
      <row>43</row>
      <rowOff>167640</rowOff>
    </to>
    <pic>
      <nvPicPr>
        <cNvPr id="4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309714" y="2956560"/>
          <a:ext cx="7120435" cy="47929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15</col>
      <colOff>342900</colOff>
      <row>0</row>
      <rowOff>45556</rowOff>
    </from>
    <to>
      <col>29</col>
      <colOff>173603</colOff>
      <row>34</row>
      <rowOff>61959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438900" y="45556"/>
          <a:ext cx="8365103" cy="457316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L3" sqref="L3"/>
    </sheetView>
  </sheetViews>
  <sheetFormatPr baseColWidth="8" defaultRowHeight="13.8"/>
  <sheetData>
    <row r="1">
      <c r="B1" t="inlineStr">
        <is>
          <t>锡锭销售额</t>
        </is>
      </c>
      <c r="C1" t="inlineStr">
        <is>
          <t>马来西亚汇率</t>
        </is>
      </c>
      <c r="D1" t="inlineStr">
        <is>
          <t>锡价折算</t>
        </is>
      </c>
      <c r="E1" t="inlineStr">
        <is>
          <t>理论销量</t>
        </is>
      </c>
      <c r="F1" s="1" t="inlineStr">
        <is>
          <t>Yot</t>
        </is>
      </c>
      <c r="G1" s="1" t="inlineStr">
        <is>
          <t>Yoy</t>
        </is>
      </c>
      <c r="H1" s="1" t="inlineStr">
        <is>
          <t>实际产量</t>
        </is>
      </c>
    </row>
    <row r="2">
      <c r="A2" s="1" t="inlineStr">
        <is>
          <t>2020Q1</t>
        </is>
      </c>
      <c r="B2" s="1" t="n">
        <v>192593</v>
      </c>
      <c r="C2" s="1" t="n">
        <v>4.19</v>
      </c>
      <c r="D2" s="1" t="n">
        <v>16249</v>
      </c>
      <c r="E2" s="128">
        <f>B2*1000/(C2*D2)</f>
        <v/>
      </c>
      <c r="F2" s="128">
        <f>E2</f>
        <v/>
      </c>
      <c r="G2" s="1" t="n"/>
      <c r="H2" s="1" t="n"/>
    </row>
    <row r="3">
      <c r="A3" s="1" t="inlineStr">
        <is>
          <t>2020Q2</t>
        </is>
      </c>
      <c r="B3" s="1" t="n">
        <v>135285</v>
      </c>
      <c r="C3" s="1" t="n">
        <v>4.32</v>
      </c>
      <c r="D3" s="1" t="n">
        <v>15645</v>
      </c>
      <c r="E3" s="128">
        <f>B3*1000/(C3*D3)</f>
        <v/>
      </c>
      <c r="F3" s="128">
        <f>F2+E3</f>
        <v/>
      </c>
      <c r="G3" s="1" t="n"/>
      <c r="H3" s="1" t="n"/>
    </row>
    <row r="4">
      <c r="A4" s="1" t="inlineStr">
        <is>
          <t>2020Q3</t>
        </is>
      </c>
      <c r="B4" s="1" t="n">
        <v>212648</v>
      </c>
      <c r="C4" s="1" t="n">
        <v>4.21</v>
      </c>
      <c r="D4" s="1" t="n">
        <v>17662</v>
      </c>
      <c r="E4" s="128">
        <f>B4*1000/(C4*D4)</f>
        <v/>
      </c>
      <c r="F4" s="128">
        <f>F3+E4</f>
        <v/>
      </c>
      <c r="G4" s="1" t="n"/>
      <c r="H4" s="1" t="n"/>
    </row>
    <row r="5">
      <c r="A5" s="3" t="inlineStr">
        <is>
          <t>2020Q4</t>
        </is>
      </c>
      <c r="B5" s="3" t="n">
        <v>220670</v>
      </c>
      <c r="C5" s="3" t="n">
        <v>4.1</v>
      </c>
      <c r="D5" s="3" t="n">
        <v>18769</v>
      </c>
      <c r="E5" s="129">
        <f>B5*1000/(C5*D5)</f>
        <v/>
      </c>
      <c r="F5" s="128">
        <f>F4+E5</f>
        <v/>
      </c>
      <c r="G5" s="1" t="n"/>
      <c r="H5" s="1" t="n">
        <v>22325</v>
      </c>
    </row>
    <row r="6">
      <c r="A6" s="1" t="inlineStr">
        <is>
          <t>2021Q1</t>
        </is>
      </c>
      <c r="B6" s="1" t="n">
        <v>265717</v>
      </c>
      <c r="C6" s="1" t="n">
        <v>4.07</v>
      </c>
      <c r="D6" s="1" t="n">
        <v>23735</v>
      </c>
      <c r="E6" s="128">
        <f>B6*1000/(C6*D6)</f>
        <v/>
      </c>
      <c r="F6" s="128">
        <f>E6</f>
        <v/>
      </c>
      <c r="G6" s="5">
        <f>(F6-F2)/F2</f>
        <v/>
      </c>
      <c r="H6" s="1" t="n"/>
    </row>
    <row r="7">
      <c r="A7" s="1" t="inlineStr">
        <is>
          <t>2021Q2</t>
        </is>
      </c>
      <c r="B7" s="1" t="n">
        <v>319173</v>
      </c>
      <c r="C7" s="1" t="n">
        <v>4.13</v>
      </c>
      <c r="D7" s="1" t="n">
        <v>29135</v>
      </c>
      <c r="E7" s="128">
        <f>B7*1000/(C7*D7)</f>
        <v/>
      </c>
      <c r="F7" s="128">
        <f>F6+E7</f>
        <v/>
      </c>
      <c r="G7" s="5">
        <f>(F7-F3)/F3</f>
        <v/>
      </c>
      <c r="H7" s="1" t="n"/>
    </row>
    <row r="8">
      <c r="A8" s="1" t="inlineStr">
        <is>
          <t>2021Q3</t>
        </is>
      </c>
      <c r="B8" s="1" t="n">
        <v>213971</v>
      </c>
      <c r="C8" s="1" t="n">
        <v>4.2</v>
      </c>
      <c r="D8" s="1" t="n">
        <v>33769</v>
      </c>
      <c r="E8" s="128">
        <f>B8*1000/(C8*D8)</f>
        <v/>
      </c>
      <c r="F8" s="128">
        <f>F7+E8</f>
        <v/>
      </c>
      <c r="G8" s="5">
        <f>(F8-F4)/F4</f>
        <v/>
      </c>
      <c r="H8" s="1" t="n"/>
    </row>
    <row r="9">
      <c r="A9" s="3" t="inlineStr">
        <is>
          <t>2021Q4</t>
        </is>
      </c>
      <c r="B9" s="3" t="n">
        <v>248643</v>
      </c>
      <c r="C9" s="3" t="n">
        <v>4.19</v>
      </c>
      <c r="D9" s="3" t="n">
        <v>33792</v>
      </c>
      <c r="E9" s="129">
        <f>B9*1000/(C9*D9)</f>
        <v/>
      </c>
      <c r="F9" s="128">
        <f>F8+E9</f>
        <v/>
      </c>
      <c r="G9" s="5">
        <f>(F9-F5)/F5</f>
        <v/>
      </c>
      <c r="H9" s="1" t="n">
        <v>16619</v>
      </c>
    </row>
    <row r="10">
      <c r="A10" s="1" t="inlineStr">
        <is>
          <t>2022Q1</t>
        </is>
      </c>
      <c r="B10" s="1" t="n">
        <v>352148</v>
      </c>
      <c r="C10" s="1" t="n">
        <v>4.19</v>
      </c>
      <c r="D10" s="1" t="n">
        <v>42964</v>
      </c>
      <c r="E10" s="128">
        <f>B10*1000/(C10*D10)</f>
        <v/>
      </c>
      <c r="F10" s="128">
        <f>E10</f>
        <v/>
      </c>
      <c r="G10" s="5">
        <f>(F10-F6)/F6</f>
        <v/>
      </c>
      <c r="H10" s="1" t="n"/>
    </row>
    <row r="11">
      <c r="A11" s="1" t="inlineStr">
        <is>
          <t>2022Q2</t>
        </is>
      </c>
      <c r="B11" s="1" t="n">
        <v>400723</v>
      </c>
      <c r="C11" s="1" t="n">
        <v>4.36</v>
      </c>
      <c r="D11" s="1" t="n">
        <v>36347</v>
      </c>
      <c r="E11" s="128">
        <f>B11*1000/(C11*D11)</f>
        <v/>
      </c>
      <c r="F11" s="128">
        <f>F10+E11</f>
        <v/>
      </c>
      <c r="G11" s="5">
        <f>(F11-F7)/F7</f>
        <v/>
      </c>
      <c r="H11" s="1" t="n"/>
    </row>
    <row r="12">
      <c r="A12" s="1" t="inlineStr">
        <is>
          <t>2022Q3</t>
        </is>
      </c>
      <c r="B12" s="1" t="n">
        <v>335163</v>
      </c>
      <c r="C12" s="1" t="n">
        <v>4.48</v>
      </c>
      <c r="D12" s="1" t="n">
        <v>23509</v>
      </c>
      <c r="E12" s="128">
        <f>B12*1000/(C12*D12)</f>
        <v/>
      </c>
      <c r="F12" s="128">
        <f>F11+E12</f>
        <v/>
      </c>
      <c r="G12" s="5">
        <f>(F12-F8)/F8</f>
        <v/>
      </c>
      <c r="H12" s="1" t="n"/>
    </row>
    <row r="13">
      <c r="A13" s="3" t="inlineStr">
        <is>
          <t>2022Q4</t>
        </is>
      </c>
      <c r="B13" s="3" t="n">
        <v>380143</v>
      </c>
      <c r="C13" s="3" t="n">
        <v>4.58</v>
      </c>
      <c r="D13" s="3" t="n">
        <v>21485</v>
      </c>
      <c r="E13" s="129">
        <f>B13*1000/(C13*D13)</f>
        <v/>
      </c>
      <c r="F13" s="128">
        <f>F12+E13</f>
        <v/>
      </c>
      <c r="G13" s="5">
        <f>(F13-F9)/F9</f>
        <v/>
      </c>
      <c r="H13" s="1" t="n">
        <v>19385</v>
      </c>
    </row>
    <row r="14">
      <c r="A14" s="1" t="inlineStr">
        <is>
          <t>2023Q1</t>
        </is>
      </c>
      <c r="B14" s="1" t="n">
        <v>323436</v>
      </c>
      <c r="C14" s="1" t="n">
        <v>4.4</v>
      </c>
      <c r="D14" s="1" t="n">
        <v>36353</v>
      </c>
      <c r="E14" s="128">
        <f>B14*1000/(C14*D14)</f>
        <v/>
      </c>
      <c r="F14" s="128">
        <f>E14</f>
        <v/>
      </c>
      <c r="G14" s="5">
        <f>(F14-F10)/F10</f>
        <v/>
      </c>
      <c r="H14" s="1" t="n"/>
    </row>
    <row r="15">
      <c r="A15" s="1" t="inlineStr">
        <is>
          <t>2023Q2</t>
        </is>
      </c>
      <c r="B15" s="1" t="n">
        <v>311772</v>
      </c>
      <c r="C15" s="1" t="n">
        <v>4.53</v>
      </c>
      <c r="D15" s="1" t="n">
        <v>25769</v>
      </c>
      <c r="E15" s="128">
        <f>B15*1000/(C15*D15)</f>
        <v/>
      </c>
      <c r="F15" s="128">
        <f>F14+E15</f>
        <v/>
      </c>
      <c r="G15" s="5">
        <f>(F15-F11)/F11</f>
        <v/>
      </c>
      <c r="H15" s="1" t="n"/>
    </row>
    <row r="16">
      <c r="A16" s="1" t="inlineStr">
        <is>
          <t>2023Q3</t>
        </is>
      </c>
      <c r="B16" s="1" t="n">
        <v>357144</v>
      </c>
      <c r="C16" s="1" t="n">
        <v>4.63</v>
      </c>
      <c r="D16" s="1" t="n">
        <v>26806</v>
      </c>
      <c r="E16" s="128">
        <f>B16*1000/(C16*D16)</f>
        <v/>
      </c>
      <c r="F16" s="128">
        <f>F15+E16</f>
        <v/>
      </c>
      <c r="G16" s="5">
        <f>(F16-F12)/F12</f>
        <v/>
      </c>
      <c r="H16" s="1" t="n"/>
    </row>
    <row r="17">
      <c r="A17" s="1" t="inlineStr">
        <is>
          <t>2023Q4</t>
        </is>
      </c>
      <c r="B17" s="1" t="n">
        <v>395874</v>
      </c>
      <c r="C17" s="1" t="n">
        <v>4.71</v>
      </c>
      <c r="D17" s="1" t="n">
        <v>24685</v>
      </c>
      <c r="E17" s="128">
        <f>B17*1000/(C17*D17)</f>
        <v/>
      </c>
      <c r="F17" s="128">
        <f>F16+E17</f>
        <v/>
      </c>
      <c r="G17" s="5">
        <f>(F17-F13)/F13</f>
        <v/>
      </c>
      <c r="H17" s="6" t="n">
        <v>18920</v>
      </c>
    </row>
    <row r="18">
      <c r="A18" s="1" t="inlineStr">
        <is>
          <t>2024Q1</t>
        </is>
      </c>
      <c r="B18" s="1" t="n">
        <v>357536</v>
      </c>
      <c r="C18" s="1" t="n"/>
      <c r="D18" s="1" t="n"/>
      <c r="E18" s="1" t="n"/>
      <c r="F18" s="1" t="n"/>
      <c r="G18" s="1" t="n"/>
      <c r="H18" s="1" t="n"/>
    </row>
    <row r="19">
      <c r="A19" s="1" t="inlineStr">
        <is>
          <t>2024Q2</t>
        </is>
      </c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>
        <is>
          <t>2024Q3</t>
        </is>
      </c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>
        <is>
          <t>2024Q4</t>
        </is>
      </c>
      <c r="B21" s="1" t="n"/>
      <c r="C21" s="1" t="n"/>
      <c r="D21" s="1" t="n"/>
      <c r="E21" s="1" t="n"/>
      <c r="F21" s="1" t="n"/>
      <c r="G21" s="1" t="n"/>
      <c r="H21" s="1" t="n">
        <v>16540</v>
      </c>
    </row>
    <row r="22">
      <c r="A22" s="1" t="inlineStr">
        <is>
          <t>2025Q1</t>
        </is>
      </c>
    </row>
    <row r="23">
      <c r="A23" s="1" t="inlineStr">
        <is>
          <t>2025Q2</t>
        </is>
      </c>
    </row>
    <row r="24">
      <c r="A24" s="1" t="inlineStr">
        <is>
          <t>2025Q3</t>
        </is>
      </c>
    </row>
    <row r="25">
      <c r="A25" s="1" t="inlineStr">
        <is>
          <t>2025Q4</t>
        </is>
      </c>
      <c r="H25" t="n">
        <v>14224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1"/>
  <sheetViews>
    <sheetView topLeftCell="A3" workbookViewId="0">
      <selection activeCell="D3" sqref="D1:D1048576"/>
    </sheetView>
  </sheetViews>
  <sheetFormatPr baseColWidth="8" defaultRowHeight="13.8"/>
  <cols>
    <col width="8.88671875" customWidth="1" min="1" max="1"/>
    <col hidden="1" width="8.88671875" customWidth="1" min="2" max="3"/>
    <col width="25.5546875" bestFit="1" customWidth="1" min="4" max="4"/>
    <col width="6.5546875" bestFit="1" customWidth="1" min="5" max="5"/>
    <col width="8.5546875" customWidth="1" min="6" max="6"/>
    <col width="6.5546875" bestFit="1" customWidth="1" min="7" max="7"/>
  </cols>
  <sheetData>
    <row r="1">
      <c r="A1" t="inlineStr">
        <is>
          <t>非洲</t>
        </is>
      </c>
    </row>
    <row r="4" ht="15.6" customHeight="1">
      <c r="A4" s="7" t="n"/>
      <c r="B4" s="7" t="inlineStr">
        <is>
          <t>Mpama North（2022）</t>
        </is>
      </c>
      <c r="C4" s="7" t="inlineStr">
        <is>
          <t>Mpama North（2023E）</t>
        </is>
      </c>
      <c r="D4" s="7" t="inlineStr">
        <is>
          <t>Mpama South(23年底）</t>
        </is>
      </c>
    </row>
    <row r="5" ht="15.6" customHeight="1">
      <c r="A5" s="7" t="inlineStr">
        <is>
          <t>品位</t>
        </is>
      </c>
      <c r="B5" s="8" t="n">
        <v>0.0382</v>
      </c>
      <c r="C5" s="8" t="n">
        <v>0.0418</v>
      </c>
      <c r="D5" s="8" t="n">
        <v>0.0221</v>
      </c>
    </row>
    <row r="6" ht="15.6" customHeight="1">
      <c r="A6" s="7" t="inlineStr">
        <is>
          <t>回收率</t>
        </is>
      </c>
      <c r="B6" s="9" t="n">
        <v>0.75</v>
      </c>
      <c r="C6" s="10" t="n">
        <v>0.77</v>
      </c>
      <c r="D6" s="11" t="inlineStr">
        <is>
          <t xml:space="preserve"> 70%</t>
        </is>
      </c>
    </row>
    <row r="7" ht="15.6" customHeight="1">
      <c r="A7" s="11" t="inlineStr">
        <is>
          <t>运营支出</t>
        </is>
      </c>
      <c r="B7" s="130" t="n">
        <v>397.47</v>
      </c>
      <c r="C7" s="131" t="n"/>
      <c r="D7" s="130" t="n">
        <v>188.29</v>
      </c>
    </row>
    <row r="8" ht="15.6" customHeight="1">
      <c r="A8" s="7" t="inlineStr">
        <is>
          <t>ASIC</t>
        </is>
      </c>
      <c r="B8" s="132" t="n">
        <v>14237</v>
      </c>
      <c r="C8" s="133" t="n">
        <v>13784</v>
      </c>
      <c r="D8" s="133" t="n">
        <v>15188</v>
      </c>
    </row>
    <row r="10">
      <c r="A10" s="16" t="n"/>
    </row>
    <row r="11" ht="14.4" customHeight="1">
      <c r="A11" s="55" t="n"/>
      <c r="B11" s="56" t="inlineStr">
        <is>
          <t>C1 Cash Cost</t>
        </is>
      </c>
      <c r="C11" s="56" t="inlineStr">
        <is>
          <t>AISC</t>
        </is>
      </c>
      <c r="D11" s="56" t="inlineStr">
        <is>
          <t>产量</t>
        </is>
      </c>
      <c r="E11" s="57" t="n"/>
      <c r="F11" s="56" t="inlineStr">
        <is>
          <t>Yoy</t>
        </is>
      </c>
      <c r="G11" s="56" t="inlineStr">
        <is>
          <t>Yot</t>
        </is>
      </c>
      <c r="H11" s="58" t="inlineStr">
        <is>
          <t>销量</t>
        </is>
      </c>
      <c r="I11" s="59" t="inlineStr">
        <is>
          <t>Yoy</t>
        </is>
      </c>
      <c r="J11" s="1" t="n"/>
      <c r="K11" s="16" t="inlineStr">
        <is>
          <t>C1 Cash Cost</t>
        </is>
      </c>
      <c r="L11" s="16" t="inlineStr">
        <is>
          <t>AISC</t>
        </is>
      </c>
    </row>
    <row r="12" hidden="1">
      <c r="A12" s="50" t="inlineStr">
        <is>
          <t>2021Q1</t>
        </is>
      </c>
      <c r="B12" s="16" t="n"/>
      <c r="C12" s="16" t="n"/>
      <c r="D12" s="16" t="n"/>
      <c r="E12" s="16" t="n"/>
      <c r="F12" s="16" t="n"/>
      <c r="G12" s="16" t="n"/>
      <c r="H12" s="16" t="n"/>
      <c r="I12" s="52" t="n"/>
      <c r="J12" s="1" t="n"/>
      <c r="K12" s="16" t="n">
        <v>19921</v>
      </c>
      <c r="L12" s="16" t="n">
        <v>26722</v>
      </c>
    </row>
    <row r="13" hidden="1" ht="58.8" customHeight="1">
      <c r="A13" s="50" t="inlineStr">
        <is>
          <t>2021Q2</t>
        </is>
      </c>
      <c r="B13" s="16" t="n"/>
      <c r="C13" s="16" t="n"/>
      <c r="D13" s="16" t="n"/>
      <c r="E13" s="43" t="n"/>
      <c r="F13" s="16" t="n"/>
      <c r="G13" s="16" t="n"/>
      <c r="H13" s="16" t="n"/>
      <c r="I13" s="52" t="n"/>
      <c r="J13" s="1" t="n"/>
      <c r="K13" s="16" t="n">
        <v>15404</v>
      </c>
      <c r="L13" s="16" t="n">
        <v>19939</v>
      </c>
    </row>
    <row r="14" hidden="1" ht="14.4" customHeight="1">
      <c r="A14" s="50" t="inlineStr">
        <is>
          <t>2021Q3</t>
        </is>
      </c>
      <c r="B14" s="16" t="n"/>
      <c r="C14" s="16" t="n"/>
      <c r="D14" s="16" t="n"/>
      <c r="E14" s="43" t="n"/>
      <c r="F14" s="16" t="n"/>
      <c r="G14" s="16" t="n"/>
      <c r="H14" s="16" t="n"/>
      <c r="I14" s="52" t="n"/>
      <c r="J14" s="1" t="n"/>
      <c r="K14" s="16" t="n">
        <v>14403</v>
      </c>
      <c r="L14" s="16" t="n">
        <v>21088</v>
      </c>
      <c r="O14" s="20" t="n"/>
      <c r="P14" s="16" t="n"/>
      <c r="Q14" s="16" t="n"/>
      <c r="R14" s="21" t="n"/>
      <c r="S14" s="16" t="n"/>
    </row>
    <row r="15" hidden="1">
      <c r="A15" s="50" t="inlineStr">
        <is>
          <t>2021Q4</t>
        </is>
      </c>
      <c r="B15" s="16" t="n"/>
      <c r="C15" s="16" t="n">
        <v>15117</v>
      </c>
      <c r="D15" s="16" t="n">
        <v>3114</v>
      </c>
      <c r="E15" s="43">
        <f>E14+D18</f>
        <v/>
      </c>
      <c r="F15" s="16" t="n"/>
      <c r="G15" s="16" t="n"/>
      <c r="H15" s="16" t="n">
        <v>3056</v>
      </c>
      <c r="I15" s="52" t="n"/>
      <c r="J15" s="1" t="n"/>
      <c r="K15" s="16" t="n">
        <v>16322</v>
      </c>
      <c r="L15" s="16" t="n">
        <v>21869</v>
      </c>
      <c r="O15" s="16" t="n"/>
      <c r="P15" s="16" t="n"/>
      <c r="Q15" s="22" t="n"/>
      <c r="R15" s="16" t="n"/>
      <c r="S15" s="23" t="n"/>
    </row>
    <row r="16" hidden="1">
      <c r="A16" s="50" t="inlineStr">
        <is>
          <t>2022Q1</t>
        </is>
      </c>
      <c r="B16" s="16" t="n"/>
      <c r="C16" s="16" t="n">
        <v>15782</v>
      </c>
      <c r="D16" s="16" t="n">
        <v>3061</v>
      </c>
      <c r="E16" s="16" t="n">
        <v>3061</v>
      </c>
      <c r="F16" s="16" t="n"/>
      <c r="G16" s="16" t="n"/>
      <c r="H16" s="16" t="n">
        <v>3336</v>
      </c>
      <c r="I16" s="52" t="n"/>
      <c r="J16" s="1" t="n"/>
      <c r="K16" s="16" t="n">
        <v>14718</v>
      </c>
      <c r="L16" s="16" t="n">
        <v>23747</v>
      </c>
      <c r="O16" s="16" t="n"/>
      <c r="P16" s="16" t="n"/>
      <c r="Q16" s="22" t="n"/>
      <c r="R16" s="16" t="n"/>
      <c r="S16" s="23" t="n"/>
    </row>
    <row r="17" hidden="1">
      <c r="A17" s="50" t="inlineStr">
        <is>
          <t>2022Q2</t>
        </is>
      </c>
      <c r="B17" s="16" t="n"/>
      <c r="C17" s="16" t="n">
        <v>14677</v>
      </c>
      <c r="D17" s="16" t="n">
        <v>3180</v>
      </c>
      <c r="E17" s="43">
        <f>E16+D17</f>
        <v/>
      </c>
      <c r="F17" s="16" t="n"/>
      <c r="G17" s="16" t="n"/>
      <c r="H17" s="16" t="n">
        <v>3229</v>
      </c>
      <c r="I17" s="52" t="n"/>
      <c r="J17" s="1" t="n"/>
      <c r="K17" s="16" t="n">
        <v>17389</v>
      </c>
      <c r="L17" s="16" t="n">
        <v>26598</v>
      </c>
      <c r="O17" s="16" t="n"/>
      <c r="P17" s="16" t="n"/>
      <c r="Q17" s="22" t="n"/>
      <c r="R17" s="16" t="n"/>
      <c r="S17" s="23" t="n"/>
    </row>
    <row r="18" hidden="1">
      <c r="A18" s="50" t="inlineStr">
        <is>
          <t>2022Q3</t>
        </is>
      </c>
      <c r="B18" s="16" t="n"/>
      <c r="C18" s="16" t="n"/>
      <c r="D18" s="16" t="n">
        <v>3012</v>
      </c>
      <c r="E18" s="43">
        <f>E17+D18</f>
        <v/>
      </c>
      <c r="F18" s="16" t="n"/>
      <c r="G18" s="16" t="n"/>
      <c r="H18" s="16" t="n"/>
      <c r="I18" s="52" t="n"/>
      <c r="J18" s="1" t="n"/>
      <c r="K18" s="16" t="n">
        <v>21024</v>
      </c>
      <c r="L18" s="16" t="n">
        <v>29856</v>
      </c>
      <c r="O18" s="16" t="n"/>
      <c r="P18" s="16" t="n"/>
      <c r="Q18" s="22" t="n"/>
      <c r="R18" s="16" t="n"/>
      <c r="S18" s="23" t="n"/>
    </row>
    <row r="19">
      <c r="A19" s="50" t="inlineStr">
        <is>
          <t>2022Q4</t>
        </is>
      </c>
      <c r="B19" s="16" t="n"/>
      <c r="C19" s="16" t="n">
        <v>13420</v>
      </c>
      <c r="D19" s="16" t="n">
        <v>3113</v>
      </c>
      <c r="E19" s="43">
        <f>E18+D19</f>
        <v/>
      </c>
      <c r="F19" s="22">
        <f>(D19-D15)/D15</f>
        <v/>
      </c>
      <c r="G19" s="16" t="n"/>
      <c r="H19" s="16" t="n">
        <v>3119</v>
      </c>
      <c r="I19" s="53">
        <f>(H19-H15)/H15</f>
        <v/>
      </c>
      <c r="J19" s="1" t="n"/>
      <c r="K19" s="16" t="n">
        <v>19841</v>
      </c>
      <c r="L19" s="16" t="n">
        <v>31617</v>
      </c>
      <c r="O19" s="16" t="n"/>
      <c r="P19" s="16" t="n"/>
      <c r="Q19" s="22" t="n"/>
      <c r="R19" s="16" t="n"/>
      <c r="S19" s="23" t="n"/>
    </row>
    <row r="20">
      <c r="A20" s="50" t="inlineStr">
        <is>
          <t>2023Q1</t>
        </is>
      </c>
      <c r="B20" s="16" t="n"/>
      <c r="C20" s="16" t="n">
        <v>13900</v>
      </c>
      <c r="D20" s="16" t="n">
        <v>3187</v>
      </c>
      <c r="E20" s="16" t="n">
        <v>3187</v>
      </c>
      <c r="F20" s="22">
        <f>(D20-D16)/D16</f>
        <v/>
      </c>
      <c r="G20" s="16" t="n"/>
      <c r="H20" s="16" t="n">
        <v>3161</v>
      </c>
      <c r="I20" s="53">
        <f>(H20-H16)/H16</f>
        <v/>
      </c>
      <c r="J20" s="1" t="n"/>
      <c r="K20" s="16" t="n">
        <v>20444</v>
      </c>
      <c r="L20" s="16" t="n">
        <v>31547</v>
      </c>
      <c r="O20" s="16" t="n"/>
      <c r="P20" s="16" t="n"/>
      <c r="Q20" s="22" t="n"/>
      <c r="R20" s="16" t="n"/>
      <c r="S20" s="23" t="n"/>
    </row>
    <row r="21">
      <c r="A21" s="50" t="inlineStr">
        <is>
          <t>2023Q2</t>
        </is>
      </c>
      <c r="B21" s="16" t="n">
        <v>13148</v>
      </c>
      <c r="C21" s="16" t="n">
        <v>13987</v>
      </c>
      <c r="D21" s="16" t="n">
        <v>3151</v>
      </c>
      <c r="E21" s="43">
        <f>E20+D21</f>
        <v/>
      </c>
      <c r="F21" s="22">
        <f>(D21-D17)/D17</f>
        <v/>
      </c>
      <c r="G21" s="16" t="n"/>
      <c r="H21" s="16" t="n">
        <v>3068</v>
      </c>
      <c r="I21" s="53">
        <f>(H21-H17)/H17</f>
        <v/>
      </c>
      <c r="J21" s="1" t="n"/>
      <c r="K21" s="16" t="n">
        <v>18162</v>
      </c>
      <c r="L21" s="16" t="n">
        <v>20444</v>
      </c>
      <c r="O21" s="16" t="n"/>
      <c r="P21" s="16" t="n"/>
      <c r="Q21" s="22" t="n"/>
      <c r="R21" s="16" t="n"/>
      <c r="S21" s="23" t="n"/>
    </row>
    <row r="22">
      <c r="A22" s="50" t="inlineStr">
        <is>
          <t>2023Q3</t>
        </is>
      </c>
      <c r="B22" s="16" t="n">
        <v>13644</v>
      </c>
      <c r="C22" s="16" t="n">
        <v>14812</v>
      </c>
      <c r="D22" s="16" t="n">
        <v>3104</v>
      </c>
      <c r="E22" s="43">
        <f>E21+D22</f>
        <v/>
      </c>
      <c r="F22" s="22">
        <f>(D22-D18)/D18</f>
        <v/>
      </c>
      <c r="G22" s="16" t="n"/>
      <c r="H22" s="16" t="n">
        <v>3110</v>
      </c>
      <c r="I22" s="53" t="n"/>
      <c r="J22" s="1" t="n"/>
      <c r="K22" s="1" t="n"/>
      <c r="L22" s="16" t="n">
        <v>25157</v>
      </c>
    </row>
    <row r="23">
      <c r="A23" s="50" t="inlineStr">
        <is>
          <t>2023Q4</t>
        </is>
      </c>
      <c r="B23" s="16" t="n"/>
      <c r="C23" s="16" t="n">
        <v>14638</v>
      </c>
      <c r="D23" s="16" t="n">
        <v>3126</v>
      </c>
      <c r="E23" s="43">
        <f>E22+D23</f>
        <v/>
      </c>
      <c r="F23" s="22">
        <f>(D23-D19)/D19</f>
        <v/>
      </c>
      <c r="G23" s="16" t="n">
        <v>12568</v>
      </c>
      <c r="H23" s="16" t="n">
        <v>2046</v>
      </c>
      <c r="I23" s="53">
        <f>(H23-H19)/H19</f>
        <v/>
      </c>
      <c r="J23" s="1" t="n"/>
      <c r="K23" s="1" t="n"/>
      <c r="L23" s="16" t="n">
        <v>26863</v>
      </c>
    </row>
    <row r="24">
      <c r="A24" s="50" t="inlineStr">
        <is>
          <t>2024Q1</t>
        </is>
      </c>
      <c r="B24" s="16" t="n">
        <v>13745</v>
      </c>
      <c r="C24" s="16" t="n">
        <v>14785</v>
      </c>
      <c r="D24" s="16" t="n">
        <v>3142</v>
      </c>
      <c r="E24" s="16" t="n">
        <v>3142</v>
      </c>
      <c r="F24" s="22">
        <f>(D24-D20)/D20</f>
        <v/>
      </c>
      <c r="G24" s="16" t="n"/>
      <c r="H24" s="16" t="n">
        <v>4126</v>
      </c>
      <c r="I24" s="53">
        <f>(H24-H20)/H20</f>
        <v/>
      </c>
      <c r="J24" s="1" t="n"/>
      <c r="K24" s="1" t="n"/>
      <c r="L24" s="1" t="n"/>
    </row>
    <row r="25">
      <c r="A25" s="50" t="inlineStr">
        <is>
          <t>2024Q2</t>
        </is>
      </c>
      <c r="B25" s="16" t="n"/>
      <c r="C25" s="16" t="n"/>
      <c r="D25" s="16" t="n">
        <v>4027</v>
      </c>
      <c r="E25" s="43">
        <f>E24+D25</f>
        <v/>
      </c>
      <c r="F25" s="22">
        <f>(D25-D21)/D21</f>
        <v/>
      </c>
      <c r="G25" s="16" t="n"/>
      <c r="H25" s="16" t="n">
        <v>3245</v>
      </c>
      <c r="I25" s="53">
        <f>(H25-H21)/H21</f>
        <v/>
      </c>
      <c r="J25" s="1" t="n"/>
      <c r="K25" s="1" t="n"/>
      <c r="L25" s="1" t="n"/>
    </row>
    <row r="26">
      <c r="A26" s="50" t="inlineStr">
        <is>
          <t>2024Q3</t>
        </is>
      </c>
      <c r="B26" s="16" t="n"/>
      <c r="C26" s="16" t="n"/>
      <c r="D26" s="16" t="n">
        <v>4917</v>
      </c>
      <c r="E26" s="43">
        <f>E25+D26</f>
        <v/>
      </c>
      <c r="F26" s="22">
        <f>(D26-D22)/D22</f>
        <v/>
      </c>
      <c r="G26" s="16" t="n"/>
      <c r="H26" s="16" t="n">
        <v>5552</v>
      </c>
      <c r="I26" s="53">
        <f>(H26-H22)/H22</f>
        <v/>
      </c>
      <c r="J26" s="1" t="n"/>
      <c r="K26" s="1" t="n">
        <v>15728</v>
      </c>
      <c r="L26" s="1" t="n"/>
    </row>
    <row r="27">
      <c r="A27" s="51" t="inlineStr">
        <is>
          <t>2024Q4</t>
        </is>
      </c>
      <c r="B27" s="3" t="n"/>
      <c r="C27" s="3" t="n"/>
      <c r="D27" s="48" t="n">
        <v>5237</v>
      </c>
      <c r="E27" s="48" t="n"/>
      <c r="F27" s="49">
        <f>(D27-D23)/D23</f>
        <v/>
      </c>
      <c r="G27" s="48" t="n"/>
      <c r="H27" s="48" t="n">
        <v>4942</v>
      </c>
      <c r="I27" s="54">
        <f>(H27-H23)/H23</f>
        <v/>
      </c>
      <c r="J27" s="1" t="n"/>
      <c r="K27" s="1" t="n">
        <v>15106</v>
      </c>
      <c r="L27" s="1" t="n"/>
    </row>
    <row r="28">
      <c r="A28" s="51" t="inlineStr">
        <is>
          <t>2025Q1</t>
        </is>
      </c>
      <c r="B28" s="3" t="n"/>
      <c r="C28" s="3" t="n"/>
      <c r="D28" s="48" t="n">
        <v>4270</v>
      </c>
      <c r="E28" s="48" t="n">
        <v>4270</v>
      </c>
      <c r="F28" s="49">
        <f>(D28-D24)/D24</f>
        <v/>
      </c>
      <c r="G28" s="48" t="n"/>
      <c r="H28" s="48" t="n">
        <v>3863</v>
      </c>
      <c r="I28" s="54">
        <f>(H28-H24)/H24</f>
        <v/>
      </c>
      <c r="J28" s="1" t="n"/>
      <c r="K28" s="1" t="n"/>
      <c r="L28" s="1" t="n"/>
    </row>
    <row r="29">
      <c r="A29" s="51" t="inlineStr">
        <is>
          <t>2025Q2</t>
        </is>
      </c>
      <c r="B29" s="3" t="n"/>
      <c r="C29" s="3" t="n"/>
      <c r="D29" s="48" t="n">
        <v>4106</v>
      </c>
      <c r="E29" s="48">
        <f>E28+D29</f>
        <v/>
      </c>
      <c r="F29" s="49">
        <f>(D29-D25)/D25</f>
        <v/>
      </c>
      <c r="G29" s="48" t="n"/>
      <c r="H29" s="48" t="n">
        <v>4587</v>
      </c>
      <c r="I29" s="54">
        <f>(H29-H25)/H25</f>
        <v/>
      </c>
      <c r="J29" s="1" t="n"/>
      <c r="K29" s="1" t="n"/>
      <c r="L29" s="1" t="n"/>
    </row>
    <row r="30">
      <c r="A30" s="51" t="inlineStr">
        <is>
          <t>2025Q3</t>
        </is>
      </c>
      <c r="B30" s="3" t="n"/>
      <c r="C30" s="3" t="n">
        <v>15978</v>
      </c>
      <c r="D30" s="48" t="n">
        <v>5190</v>
      </c>
      <c r="E30" s="48">
        <f>E29+D30</f>
        <v/>
      </c>
      <c r="F30" s="49">
        <f>(D30-D26)/D26</f>
        <v/>
      </c>
      <c r="G30" s="48" t="n"/>
      <c r="H30" s="48" t="n">
        <v>5143</v>
      </c>
      <c r="I30" s="54">
        <f>(H30-H26)/H26</f>
        <v/>
      </c>
      <c r="J30" s="1" t="n"/>
      <c r="K30" s="1" t="n"/>
      <c r="L30" s="1" t="n"/>
    </row>
    <row r="31">
      <c r="A31" s="51" t="inlineStr">
        <is>
          <t>2025Q4</t>
        </is>
      </c>
      <c r="B31" s="3" t="n"/>
      <c r="C31" s="3" t="n">
        <v>16815</v>
      </c>
      <c r="D31" s="48" t="n">
        <v>5008</v>
      </c>
      <c r="E31" s="48">
        <f>E30+D31</f>
        <v/>
      </c>
      <c r="F31" s="49">
        <f>(D31-D27)/D27</f>
        <v/>
      </c>
      <c r="G31" s="48" t="n">
        <v>18576</v>
      </c>
      <c r="H31" s="48" t="n">
        <v>5045</v>
      </c>
      <c r="I31" s="54">
        <f>(H31-H27)/H27</f>
        <v/>
      </c>
      <c r="J31" s="1" t="n"/>
      <c r="K31" s="1" t="n"/>
      <c r="L31" s="1" t="n"/>
    </row>
    <row r="32">
      <c r="A32" s="51" t="inlineStr">
        <is>
          <t>2026Q1</t>
        </is>
      </c>
      <c r="B32" s="3" t="n"/>
      <c r="C32" s="3" t="n">
        <v>17968</v>
      </c>
      <c r="D32" s="48" t="n">
        <v>5026</v>
      </c>
      <c r="E32" s="48" t="n">
        <v>5026</v>
      </c>
      <c r="F32" s="49">
        <f>(D32-D28)/D28</f>
        <v/>
      </c>
      <c r="G32" s="48" t="n"/>
      <c r="H32" s="48" t="n">
        <v>5016</v>
      </c>
      <c r="I32" s="54">
        <f>(H32-H28)/H28</f>
        <v/>
      </c>
      <c r="J32" s="1" t="n"/>
      <c r="K32" s="1" t="n"/>
      <c r="L32" s="1" t="n"/>
    </row>
    <row r="33">
      <c r="A33" s="51" t="inlineStr">
        <is>
          <t>2026Q2</t>
        </is>
      </c>
      <c r="B33" s="3" t="n"/>
      <c r="C33" s="3" t="n">
        <v>19043</v>
      </c>
      <c r="D33" s="48" t="n">
        <v>5013</v>
      </c>
      <c r="E33" s="48">
        <f>E32+D33</f>
        <v/>
      </c>
      <c r="F33" s="49">
        <f>(D33-D29)/D29</f>
        <v/>
      </c>
      <c r="G33" s="48" t="n"/>
      <c r="H33" s="48" t="n">
        <v>5014</v>
      </c>
      <c r="I33" s="54">
        <f>(H33-H29)/H29</f>
        <v/>
      </c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G28" sqref="G28"/>
    </sheetView>
  </sheetViews>
  <sheetFormatPr baseColWidth="8" defaultRowHeight="13.8"/>
  <cols>
    <col width="12.21875" bestFit="1" customWidth="1" min="1" max="1"/>
    <col width="9.77734375" bestFit="1" customWidth="1" min="2" max="4"/>
  </cols>
  <sheetData>
    <row r="1">
      <c r="A1" t="inlineStr">
        <is>
          <t>澳大利亚</t>
        </is>
      </c>
    </row>
    <row r="4" ht="15.6" customHeight="1">
      <c r="A4" s="7" t="n"/>
      <c r="B4" s="7" t="inlineStr">
        <is>
          <t>23M4</t>
        </is>
      </c>
      <c r="C4" s="7" t="inlineStr">
        <is>
          <t>24M3</t>
        </is>
      </c>
      <c r="D4" s="7" t="n">
        <v>23</v>
      </c>
    </row>
    <row r="5" ht="15.6" customHeight="1">
      <c r="A5" s="7" t="inlineStr">
        <is>
          <t>品位</t>
        </is>
      </c>
      <c r="B5" s="8" t="n">
        <v>0.0184</v>
      </c>
      <c r="C5" s="8" t="n">
        <v>0.0177</v>
      </c>
      <c r="D5" s="8" t="n">
        <v>0.0165</v>
      </c>
    </row>
    <row r="6" ht="15.6" customHeight="1">
      <c r="A6" s="7" t="inlineStr">
        <is>
          <t>回收率</t>
        </is>
      </c>
      <c r="B6" s="9" t="n">
        <v>0.7803</v>
      </c>
      <c r="C6" s="10" t="n">
        <v>0.7702</v>
      </c>
      <c r="D6" s="17" t="n">
        <v>0.7627</v>
      </c>
    </row>
    <row r="7" ht="15.6" customHeight="1">
      <c r="A7" s="7" t="inlineStr">
        <is>
          <t>ASIC</t>
        </is>
      </c>
      <c r="B7" s="132" t="n">
        <v>28112</v>
      </c>
      <c r="C7" s="133" t="n">
        <v>29057</v>
      </c>
      <c r="D7" s="133" t="n">
        <v>30653</v>
      </c>
    </row>
    <row r="9">
      <c r="A9" s="16" t="inlineStr">
        <is>
          <t>Metals X</t>
        </is>
      </c>
    </row>
    <row r="10">
      <c r="A10" s="1" t="n"/>
      <c r="B10" s="16" t="inlineStr">
        <is>
          <t>C1 Cash Cost</t>
        </is>
      </c>
      <c r="C10" s="16" t="inlineStr">
        <is>
          <t>AISC</t>
        </is>
      </c>
      <c r="D10" s="1" t="inlineStr">
        <is>
          <t>AIC</t>
        </is>
      </c>
      <c r="E10" s="1" t="inlineStr">
        <is>
          <t>产量</t>
        </is>
      </c>
      <c r="G10" s="1" t="inlineStr">
        <is>
          <t>YoY</t>
        </is>
      </c>
    </row>
    <row r="11">
      <c r="A11" s="16" t="inlineStr">
        <is>
          <t>2021Q1</t>
        </is>
      </c>
      <c r="B11" s="1" t="n">
        <v>19921</v>
      </c>
      <c r="C11" s="1" t="n">
        <v>26722</v>
      </c>
      <c r="D11" s="1" t="n">
        <v>30496</v>
      </c>
      <c r="E11" s="1" t="n">
        <v>1277</v>
      </c>
      <c r="F11" s="1" t="n">
        <v>1277</v>
      </c>
    </row>
    <row r="12">
      <c r="A12" s="16" t="inlineStr">
        <is>
          <t>2021Q2</t>
        </is>
      </c>
      <c r="B12" s="1" t="n">
        <v>15404</v>
      </c>
      <c r="C12" s="1" t="n">
        <v>19939</v>
      </c>
      <c r="D12" s="1" t="n">
        <v>23425</v>
      </c>
      <c r="E12" s="1" t="n">
        <v>2136</v>
      </c>
      <c r="F12" s="43">
        <f>F11+E12</f>
        <v/>
      </c>
    </row>
    <row r="13">
      <c r="A13" s="16" t="inlineStr">
        <is>
          <t>2021Q3</t>
        </is>
      </c>
      <c r="B13" s="1" t="n">
        <v>14403</v>
      </c>
      <c r="C13" s="1" t="n">
        <v>21088</v>
      </c>
      <c r="D13" s="1" t="n">
        <v>22140</v>
      </c>
      <c r="E13" s="1" t="n">
        <v>2471</v>
      </c>
      <c r="F13" s="43">
        <f>F12+E13</f>
        <v/>
      </c>
    </row>
    <row r="14">
      <c r="A14" s="16" t="inlineStr">
        <is>
          <t>2021Q4</t>
        </is>
      </c>
      <c r="B14" s="1" t="n">
        <v>16332</v>
      </c>
      <c r="C14" s="1" t="n">
        <v>21869</v>
      </c>
      <c r="D14" s="1" t="n">
        <v>28783</v>
      </c>
      <c r="E14" s="1" t="n">
        <v>2359</v>
      </c>
      <c r="F14" s="43">
        <f>F13+E14</f>
        <v/>
      </c>
    </row>
    <row r="15">
      <c r="A15" s="16" t="inlineStr">
        <is>
          <t>2022Q1</t>
        </is>
      </c>
      <c r="B15" s="1" t="n">
        <v>14909</v>
      </c>
      <c r="C15" s="1" t="n">
        <v>23174</v>
      </c>
      <c r="D15" s="1" t="n">
        <v>29730</v>
      </c>
      <c r="E15" s="1" t="n">
        <v>2477</v>
      </c>
      <c r="F15" s="1" t="n">
        <v>2477</v>
      </c>
      <c r="G15" s="134">
        <f>(F15-F11)/F11</f>
        <v/>
      </c>
    </row>
    <row r="16">
      <c r="A16" s="16" t="inlineStr">
        <is>
          <t>2022Q2</t>
        </is>
      </c>
      <c r="B16" s="1" t="n">
        <v>17389</v>
      </c>
      <c r="C16" s="1" t="n">
        <v>26598</v>
      </c>
      <c r="D16" s="1" t="n">
        <v>31337</v>
      </c>
      <c r="E16" s="1" t="n">
        <v>2154</v>
      </c>
      <c r="F16" s="43">
        <f>F15+E16</f>
        <v/>
      </c>
      <c r="G16" s="134">
        <f>(F16-F12)/F12</f>
        <v/>
      </c>
    </row>
    <row r="17">
      <c r="A17" s="16" t="inlineStr">
        <is>
          <t>2022Q3</t>
        </is>
      </c>
      <c r="B17" s="1" t="n">
        <v>21024</v>
      </c>
      <c r="C17" s="1" t="n">
        <v>31208</v>
      </c>
      <c r="D17" s="1" t="n">
        <v>35113</v>
      </c>
      <c r="E17" s="1" t="n">
        <v>1848</v>
      </c>
      <c r="F17" s="43">
        <f>F16+E17</f>
        <v/>
      </c>
      <c r="G17" s="134">
        <f>(F17-F13)/F13</f>
        <v/>
      </c>
    </row>
    <row r="18">
      <c r="A18" s="16" t="inlineStr">
        <is>
          <t>2022Q4</t>
        </is>
      </c>
      <c r="B18" s="1" t="n">
        <v>19841</v>
      </c>
      <c r="C18" s="1" t="n">
        <v>31617</v>
      </c>
      <c r="D18" s="1" t="n">
        <v>34518</v>
      </c>
      <c r="E18" s="1" t="n">
        <v>1925</v>
      </c>
      <c r="F18" s="43">
        <f>F17+E18</f>
        <v/>
      </c>
      <c r="G18" s="134">
        <f>(F18-F14)/F14</f>
        <v/>
      </c>
    </row>
    <row r="19">
      <c r="A19" s="16" t="inlineStr">
        <is>
          <t>2023Q1</t>
        </is>
      </c>
      <c r="B19" s="1" t="n">
        <v>20444</v>
      </c>
      <c r="C19" s="1" t="n">
        <v>31547</v>
      </c>
      <c r="D19" s="1" t="n">
        <v>35094</v>
      </c>
      <c r="E19" s="1" t="n">
        <v>1981</v>
      </c>
      <c r="F19" s="1" t="n">
        <v>1981</v>
      </c>
      <c r="G19" s="134">
        <f>(F19-F15)/F15</f>
        <v/>
      </c>
    </row>
    <row r="20">
      <c r="A20" s="16" t="inlineStr">
        <is>
          <t>2023Q2</t>
        </is>
      </c>
      <c r="B20" s="1" t="n">
        <v>18162</v>
      </c>
      <c r="C20" s="1" t="n">
        <v>27243</v>
      </c>
      <c r="D20" s="1" t="n">
        <v>31554</v>
      </c>
      <c r="E20" s="1" t="n">
        <v>2292</v>
      </c>
      <c r="F20" s="43">
        <f>F19+E20</f>
        <v/>
      </c>
      <c r="G20" s="134">
        <f>(F20-F16)/F16</f>
        <v/>
      </c>
    </row>
    <row r="21">
      <c r="A21" s="16" t="inlineStr">
        <is>
          <t>2023Q3</t>
        </is>
      </c>
      <c r="B21" s="1" t="n">
        <v>16771</v>
      </c>
      <c r="C21" s="1" t="n">
        <v>26893</v>
      </c>
      <c r="D21" s="1" t="n">
        <v>29057</v>
      </c>
      <c r="E21" s="1" t="n">
        <v>2545</v>
      </c>
      <c r="F21" s="43">
        <f>F20+E21</f>
        <v/>
      </c>
      <c r="G21" s="134">
        <f>(F21-F17)/F17</f>
        <v/>
      </c>
    </row>
    <row r="22">
      <c r="A22" s="16" t="inlineStr">
        <is>
          <t>2023Q4</t>
        </is>
      </c>
      <c r="B22" s="1" t="n">
        <v>16067</v>
      </c>
      <c r="C22" s="1" t="n">
        <v>26552</v>
      </c>
      <c r="D22" s="1" t="n">
        <v>28112</v>
      </c>
      <c r="E22" s="1" t="n">
        <v>2714</v>
      </c>
      <c r="F22" s="43">
        <f>F21+E22</f>
        <v/>
      </c>
      <c r="G22" s="134">
        <f>(F22-F18)/F18</f>
        <v/>
      </c>
    </row>
    <row r="23">
      <c r="A23" s="16" t="inlineStr">
        <is>
          <t>2024Q1</t>
        </is>
      </c>
      <c r="B23" s="1" t="n">
        <v>18401</v>
      </c>
      <c r="C23" s="1" t="n">
        <v>30230</v>
      </c>
      <c r="D23" s="1" t="n">
        <v>34098</v>
      </c>
      <c r="E23" s="1" t="n">
        <v>2272</v>
      </c>
      <c r="F23" s="1" t="n">
        <v>2272</v>
      </c>
      <c r="G23" s="134">
        <f>(F23-F19)/F19</f>
        <v/>
      </c>
    </row>
    <row r="24">
      <c r="A24" s="16" t="inlineStr">
        <is>
          <t>2024Q2</t>
        </is>
      </c>
      <c r="B24" s="1" t="n">
        <v>18901</v>
      </c>
      <c r="C24" s="1" t="n">
        <v>33230</v>
      </c>
      <c r="D24" s="1" t="n">
        <v>33769</v>
      </c>
      <c r="E24" s="1" t="n">
        <v>2506</v>
      </c>
      <c r="F24" s="43">
        <f>F23+E24</f>
        <v/>
      </c>
      <c r="G24" s="134">
        <f>(F24-F20)/F20</f>
        <v/>
      </c>
    </row>
    <row r="25">
      <c r="A25" s="16" t="inlineStr">
        <is>
          <t>2024Q3</t>
        </is>
      </c>
      <c r="B25" s="1" t="n">
        <v>16192</v>
      </c>
      <c r="C25" s="1" t="n">
        <v>27011</v>
      </c>
      <c r="D25" s="1" t="n">
        <v>30332</v>
      </c>
      <c r="E25" s="1" t="n">
        <v>2899</v>
      </c>
      <c r="F25" s="43">
        <f>F24+E25</f>
        <v/>
      </c>
      <c r="G25" s="134">
        <f>(F25-F21)/F21</f>
        <v/>
      </c>
    </row>
    <row r="26">
      <c r="A26" s="16" t="inlineStr">
        <is>
          <t>2024Q4</t>
        </is>
      </c>
      <c r="B26" s="1" t="n">
        <v>16282</v>
      </c>
      <c r="C26" s="1" t="n">
        <v>27506</v>
      </c>
      <c r="D26" s="1" t="n">
        <v>29331</v>
      </c>
      <c r="E26" s="1" t="n">
        <v>3329</v>
      </c>
      <c r="F26" s="43">
        <f>F25+E26</f>
        <v/>
      </c>
      <c r="G26" s="134">
        <f>(F26-F22)/F22</f>
        <v/>
      </c>
    </row>
    <row r="27">
      <c r="A27" s="16" t="inlineStr">
        <is>
          <t>2025Q1</t>
        </is>
      </c>
      <c r="B27" s="1" t="n">
        <v>20597</v>
      </c>
      <c r="C27" s="1" t="n">
        <v>33482</v>
      </c>
      <c r="D27" s="1" t="n">
        <v>36007</v>
      </c>
      <c r="E27" s="1" t="n">
        <v>2432</v>
      </c>
      <c r="F27" s="1" t="n">
        <v>2432</v>
      </c>
      <c r="G27" s="134">
        <f>(F27-F23)/F23</f>
        <v/>
      </c>
    </row>
    <row r="28">
      <c r="A28" s="16" t="inlineStr">
        <is>
          <t>2025Q2</t>
        </is>
      </c>
      <c r="B28" s="1" t="n"/>
      <c r="C28" s="1" t="n"/>
      <c r="D28" s="1" t="n"/>
      <c r="E28" s="16" t="n">
        <v>2724</v>
      </c>
      <c r="F28" s="1">
        <f>F27+E28</f>
        <v/>
      </c>
      <c r="G28" s="134">
        <f>(F28-F24)/F24</f>
        <v/>
      </c>
    </row>
    <row r="29">
      <c r="A29" s="16" t="inlineStr">
        <is>
          <t>2025Q3</t>
        </is>
      </c>
      <c r="B29" s="1" t="n">
        <v>23138</v>
      </c>
      <c r="C29" s="1" t="n">
        <v>36048</v>
      </c>
      <c r="D29" s="1" t="n">
        <v>38834</v>
      </c>
      <c r="E29" s="16" t="n">
        <v>2272</v>
      </c>
      <c r="F29" s="1">
        <f>F28+E29</f>
        <v/>
      </c>
      <c r="G29" s="134">
        <f>(F29-F25)/F25</f>
        <v/>
      </c>
    </row>
    <row r="30">
      <c r="A30" s="16" t="inlineStr">
        <is>
          <t>2025Q4</t>
        </is>
      </c>
      <c r="B30" s="1" t="n">
        <v>16598</v>
      </c>
      <c r="C30" s="1" t="n">
        <v>27906</v>
      </c>
      <c r="D30" s="1" t="n">
        <v>30319</v>
      </c>
      <c r="E30" s="16" t="n">
        <v>3319</v>
      </c>
      <c r="F30" s="1">
        <f>F29+E30</f>
        <v/>
      </c>
      <c r="G30" s="134">
        <f>(F30-F26)/F26</f>
        <v/>
      </c>
    </row>
    <row r="31">
      <c r="A31" s="16" t="inlineStr">
        <is>
          <t>2026Q1</t>
        </is>
      </c>
      <c r="B31" s="1" t="n">
        <v>18653</v>
      </c>
      <c r="C31" s="1" t="n">
        <v>32567</v>
      </c>
      <c r="D31" s="1" t="n">
        <v>34707</v>
      </c>
      <c r="E31" s="16" t="n">
        <v>2887</v>
      </c>
      <c r="F31" s="1" t="n">
        <v>2887</v>
      </c>
      <c r="G31" s="134">
        <f>(F31-F27)/F27</f>
        <v/>
      </c>
    </row>
    <row r="32">
      <c r="A32" t="inlineStr">
        <is>
          <t>2026Q2</t>
        </is>
      </c>
      <c r="B32" s="1" t="n"/>
      <c r="C32" s="1" t="n"/>
      <c r="D32" s="1" t="n"/>
      <c r="E32" t="n">
        <v>2809</v>
      </c>
      <c r="F32">
        <f>F31+E32</f>
        <v/>
      </c>
      <c r="G32">
        <f>(F32-F28)/F28</f>
        <v/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4"/>
  <sheetViews>
    <sheetView topLeftCell="E15" workbookViewId="0">
      <selection activeCell="U36" sqref="U36:U37"/>
    </sheetView>
  </sheetViews>
  <sheetFormatPr baseColWidth="8" defaultRowHeight="13.8"/>
  <cols>
    <col width="10.5546875" bestFit="1" customWidth="1" min="7" max="7"/>
  </cols>
  <sheetData>
    <row r="1">
      <c r="A1" s="16" t="n"/>
      <c r="B1" s="16" t="inlineStr">
        <is>
          <t>Onshore</t>
        </is>
      </c>
      <c r="C1" s="16" t="inlineStr">
        <is>
          <t>Offshore</t>
        </is>
      </c>
      <c r="D1" s="16" t="inlineStr">
        <is>
          <t>ore</t>
        </is>
      </c>
      <c r="E1" s="16" t="inlineStr">
        <is>
          <t>Refine</t>
        </is>
      </c>
      <c r="F1" s="16" t="inlineStr">
        <is>
          <t>Sale</t>
        </is>
      </c>
      <c r="G1" s="16" t="inlineStr">
        <is>
          <t>ore</t>
        </is>
      </c>
      <c r="H1" s="16" t="inlineStr">
        <is>
          <t>Yoy</t>
        </is>
      </c>
      <c r="I1" s="16" t="inlineStr">
        <is>
          <t>Refine</t>
        </is>
      </c>
      <c r="J1" s="16" t="inlineStr">
        <is>
          <t>Yoy</t>
        </is>
      </c>
      <c r="K1" s="16" t="n"/>
      <c r="L1" s="16" t="n"/>
      <c r="M1" s="16" t="n"/>
      <c r="N1" s="16" t="n"/>
      <c r="O1" s="16" t="n"/>
      <c r="P1" s="16" t="n"/>
      <c r="Q1" s="16" t="inlineStr">
        <is>
          <t>Timah</t>
        </is>
      </c>
      <c r="R1" s="16" t="inlineStr">
        <is>
          <t>私人矿</t>
        </is>
      </c>
    </row>
    <row r="2" ht="14.4" customHeight="1">
      <c r="A2" s="16" t="inlineStr">
        <is>
          <t>2021Q1</t>
        </is>
      </c>
      <c r="B2" s="16" t="n">
        <v>1950</v>
      </c>
      <c r="C2" s="16" t="n">
        <v>3075</v>
      </c>
      <c r="D2" s="16" t="n">
        <v>5025</v>
      </c>
      <c r="E2" s="16" t="n">
        <v>5220</v>
      </c>
      <c r="F2" s="16" t="n">
        <v>5912</v>
      </c>
      <c r="G2" s="16">
        <f>D2</f>
        <v/>
      </c>
      <c r="H2" s="16" t="n"/>
      <c r="I2" s="16" t="n">
        <v>5220</v>
      </c>
      <c r="J2" s="16" t="n"/>
      <c r="K2" s="16" t="n"/>
      <c r="L2" s="16" t="n"/>
      <c r="M2" s="16" t="n"/>
      <c r="N2" s="16" t="n"/>
      <c r="O2" s="16" t="n"/>
      <c r="P2" s="16" t="inlineStr">
        <is>
          <t>1月</t>
        </is>
      </c>
      <c r="Q2" s="16" t="n">
        <v>0</v>
      </c>
      <c r="R2" s="16" t="n">
        <v>0</v>
      </c>
    </row>
    <row r="3" ht="14.4" customHeight="1">
      <c r="A3" s="16" t="inlineStr">
        <is>
          <t>2021Q2</t>
        </is>
      </c>
      <c r="B3" s="16" t="n">
        <v>2843</v>
      </c>
      <c r="C3" s="16" t="n">
        <v>3589</v>
      </c>
      <c r="D3" s="16" t="n">
        <v>6432</v>
      </c>
      <c r="E3" s="16" t="n">
        <v>6695</v>
      </c>
      <c r="F3" s="16" t="n">
        <v>6611</v>
      </c>
      <c r="G3" s="43">
        <f>G2+D3</f>
        <v/>
      </c>
      <c r="H3" s="16" t="n"/>
      <c r="I3" s="43">
        <f>E3+I2</f>
        <v/>
      </c>
      <c r="J3" s="16" t="n"/>
      <c r="K3" s="16" t="n"/>
      <c r="L3" s="16" t="n"/>
      <c r="M3" s="16" t="n"/>
      <c r="N3" s="16" t="n"/>
      <c r="O3" s="16" t="n"/>
      <c r="P3" s="16" t="inlineStr">
        <is>
          <t>2月</t>
        </is>
      </c>
      <c r="Q3" s="16" t="n">
        <v>0</v>
      </c>
      <c r="R3" s="16" t="n">
        <v>86</v>
      </c>
    </row>
    <row r="4" ht="14.4" customHeight="1">
      <c r="A4" s="16" t="inlineStr">
        <is>
          <t>2021Q3</t>
        </is>
      </c>
      <c r="B4" s="16" t="n">
        <v>3066</v>
      </c>
      <c r="C4" s="16" t="n">
        <v>3406</v>
      </c>
      <c r="D4" s="16" t="n">
        <v>6472</v>
      </c>
      <c r="E4" s="16" t="n">
        <v>7205</v>
      </c>
      <c r="F4" s="16" t="n">
        <v>6536</v>
      </c>
      <c r="G4" s="43">
        <f>G3+D4</f>
        <v/>
      </c>
      <c r="H4" s="16" t="n"/>
      <c r="I4" s="43">
        <f>E4+I3</f>
        <v/>
      </c>
      <c r="J4" s="16" t="n"/>
      <c r="K4" s="16" t="n"/>
      <c r="L4" s="16" t="n"/>
      <c r="M4" s="16" t="n"/>
      <c r="N4" s="16" t="n"/>
      <c r="O4" s="16" t="n"/>
      <c r="P4" s="16" t="inlineStr">
        <is>
          <t>3月</t>
        </is>
      </c>
      <c r="Q4" s="16" t="n">
        <v>3493</v>
      </c>
      <c r="R4" s="16" t="n">
        <v>248</v>
      </c>
    </row>
    <row r="5" ht="14.4" customHeight="1">
      <c r="A5" s="16" t="inlineStr">
        <is>
          <t>2021Q4</t>
        </is>
      </c>
      <c r="B5" s="16" t="n">
        <v>3553</v>
      </c>
      <c r="C5" s="16" t="n">
        <v>3188</v>
      </c>
      <c r="D5" s="16" t="n">
        <v>6741</v>
      </c>
      <c r="E5" s="16" t="n">
        <v>7345</v>
      </c>
      <c r="F5" s="16" t="n">
        <v>7543</v>
      </c>
      <c r="G5" s="43">
        <f>G4+D5</f>
        <v/>
      </c>
      <c r="H5" s="16" t="n"/>
      <c r="I5" s="43">
        <f>E5+I4</f>
        <v/>
      </c>
      <c r="J5" s="16" t="n"/>
      <c r="K5" s="16" t="n"/>
      <c r="L5" s="16" t="n"/>
      <c r="M5" s="16" t="n"/>
      <c r="N5" s="16" t="n"/>
      <c r="O5" s="16" t="n"/>
      <c r="P5" s="16" t="inlineStr">
        <is>
          <t>4月</t>
        </is>
      </c>
      <c r="Q5" s="16" t="n">
        <v>1374</v>
      </c>
      <c r="R5" s="16" t="n">
        <v>1837</v>
      </c>
    </row>
    <row r="6" ht="14.4" customHeight="1">
      <c r="A6" s="16" t="inlineStr">
        <is>
          <t>2022Q1</t>
        </is>
      </c>
      <c r="B6" s="16" t="n">
        <v>1583</v>
      </c>
      <c r="C6" s="16" t="n">
        <v>2925</v>
      </c>
      <c r="D6" s="16" t="n">
        <v>4508</v>
      </c>
      <c r="E6" s="16" t="n">
        <v>4820</v>
      </c>
      <c r="F6" s="16" t="n">
        <v>5703</v>
      </c>
      <c r="G6" s="16" t="n">
        <v>4508</v>
      </c>
      <c r="H6" s="23">
        <f>(G6-G2)/G2</f>
        <v/>
      </c>
      <c r="I6" s="16" t="n">
        <v>4820</v>
      </c>
      <c r="J6" s="23">
        <f>(I6-I2)/I2</f>
        <v/>
      </c>
      <c r="K6" s="16" t="n"/>
      <c r="L6" s="16" t="n"/>
      <c r="M6" s="16" t="n"/>
      <c r="N6" s="16" t="n"/>
      <c r="O6" s="16" t="n"/>
      <c r="P6" s="16" t="inlineStr">
        <is>
          <t>5月</t>
        </is>
      </c>
      <c r="Q6" s="16" t="n">
        <v>1405</v>
      </c>
      <c r="R6" s="16" t="n">
        <v>1958</v>
      </c>
    </row>
    <row r="7">
      <c r="A7" s="16" t="inlineStr">
        <is>
          <t>2022Q2</t>
        </is>
      </c>
      <c r="B7" s="16" t="n">
        <v>2246</v>
      </c>
      <c r="C7" s="16" t="n">
        <v>3147</v>
      </c>
      <c r="D7" s="16" t="n">
        <v>5393</v>
      </c>
      <c r="E7" s="16" t="n">
        <v>3985</v>
      </c>
      <c r="F7" s="16" t="n">
        <v>4239</v>
      </c>
      <c r="G7" s="43">
        <f>G6+D7</f>
        <v/>
      </c>
      <c r="H7" s="23">
        <f>(G7-G3)/G3</f>
        <v/>
      </c>
      <c r="I7" s="43">
        <f>E7+I6</f>
        <v/>
      </c>
      <c r="J7" s="23">
        <f>(I7-I3)/I3</f>
        <v/>
      </c>
      <c r="K7" s="16" t="n"/>
      <c r="L7" s="16" t="n"/>
      <c r="M7" s="16" t="n"/>
      <c r="N7" s="16" t="n"/>
      <c r="O7" s="16" t="n"/>
      <c r="P7" s="16" t="n"/>
    </row>
    <row r="8">
      <c r="A8" s="16" t="inlineStr">
        <is>
          <t>2022Q3</t>
        </is>
      </c>
      <c r="B8" s="16" t="n">
        <v>1175</v>
      </c>
      <c r="C8" s="16" t="n">
        <v>3426</v>
      </c>
      <c r="D8" s="16" t="n">
        <v>4601</v>
      </c>
      <c r="E8" s="16" t="n">
        <v>5325</v>
      </c>
      <c r="F8" s="16" t="n">
        <v>5383</v>
      </c>
      <c r="G8" s="43">
        <f>G7+D8</f>
        <v/>
      </c>
      <c r="H8" s="23">
        <f>(G8-G4)/G4</f>
        <v/>
      </c>
      <c r="I8" s="43">
        <f>E8+I7</f>
        <v/>
      </c>
      <c r="J8" s="23">
        <f>(I8-I4)/I4</f>
        <v/>
      </c>
      <c r="K8" s="16" t="n"/>
      <c r="L8" s="16" t="n"/>
      <c r="M8" s="16" t="n"/>
      <c r="N8" s="16" t="n"/>
      <c r="O8" s="16" t="n"/>
      <c r="P8" s="16" t="n"/>
    </row>
    <row r="9">
      <c r="A9" s="16" t="inlineStr">
        <is>
          <t>2022Q4</t>
        </is>
      </c>
      <c r="B9" s="16" t="n">
        <v>2117</v>
      </c>
      <c r="C9" s="16" t="n">
        <v>3460</v>
      </c>
      <c r="D9" s="16" t="n">
        <v>5577</v>
      </c>
      <c r="E9" s="16" t="n">
        <v>5695</v>
      </c>
      <c r="F9" s="16" t="n">
        <v>5480</v>
      </c>
      <c r="G9" s="43">
        <f>G8+D9</f>
        <v/>
      </c>
      <c r="H9" s="23">
        <f>(G9-G5)/G5</f>
        <v/>
      </c>
      <c r="I9" s="43">
        <f>E9+I8</f>
        <v/>
      </c>
      <c r="J9" s="23">
        <f>(I9-I5)/I5</f>
        <v/>
      </c>
      <c r="K9" s="16" t="n"/>
      <c r="L9" s="16" t="n"/>
      <c r="M9" s="16" t="n"/>
      <c r="N9" s="16" t="n"/>
      <c r="O9" s="16" t="n"/>
      <c r="P9" s="16" t="n"/>
    </row>
    <row r="10">
      <c r="A10" s="16" t="inlineStr">
        <is>
          <t>2023Q1</t>
        </is>
      </c>
      <c r="B10" s="16" t="n">
        <v>1712</v>
      </c>
      <c r="C10" s="16" t="n">
        <v>2427</v>
      </c>
      <c r="D10" s="16" t="n">
        <v>4139</v>
      </c>
      <c r="E10" s="16" t="n">
        <v>3970</v>
      </c>
      <c r="F10" s="16" t="n">
        <v>4246</v>
      </c>
      <c r="G10" s="16" t="n">
        <v>4139</v>
      </c>
      <c r="H10" s="23">
        <f>(G10-G6)/G6</f>
        <v/>
      </c>
      <c r="I10" s="16" t="n">
        <v>3970</v>
      </c>
      <c r="J10" s="23">
        <f>(I10-I6)/I6</f>
        <v/>
      </c>
      <c r="K10" s="16" t="n"/>
      <c r="L10" s="16" t="n"/>
      <c r="M10" s="16" t="n"/>
      <c r="N10" s="16" t="n"/>
      <c r="O10" s="16" t="n"/>
      <c r="P10" s="16" t="n"/>
    </row>
    <row r="11">
      <c r="A11" s="16" t="inlineStr">
        <is>
          <t>2023Q2</t>
        </is>
      </c>
      <c r="B11" s="16" t="n">
        <v>941</v>
      </c>
      <c r="C11" s="16" t="n">
        <v>2675</v>
      </c>
      <c r="D11" s="16" t="n">
        <v>3616</v>
      </c>
      <c r="E11" s="16" t="n">
        <v>4130</v>
      </c>
      <c r="F11" s="16" t="n">
        <v>4061</v>
      </c>
      <c r="G11" s="43">
        <f>G10+D11</f>
        <v/>
      </c>
      <c r="H11" s="23">
        <f>(G11-G7)/G7</f>
        <v/>
      </c>
      <c r="I11" s="43">
        <f>E11+I10</f>
        <v/>
      </c>
      <c r="J11" s="23">
        <f>(I11-I7)/I7</f>
        <v/>
      </c>
      <c r="K11" s="16" t="n"/>
      <c r="L11" s="16" t="n"/>
      <c r="M11" s="16" t="n"/>
      <c r="N11" s="16" t="n"/>
      <c r="O11" s="16" t="n"/>
      <c r="P11" s="16" t="n"/>
    </row>
    <row r="12">
      <c r="A12" s="16" t="inlineStr">
        <is>
          <t>2023Q3</t>
        </is>
      </c>
      <c r="B12" s="16" t="n">
        <v>782</v>
      </c>
      <c r="C12" s="16" t="n">
        <v>2664</v>
      </c>
      <c r="D12" s="16" t="n">
        <v>3446</v>
      </c>
      <c r="E12" s="16" t="n">
        <v>3440</v>
      </c>
      <c r="F12" s="16" t="n">
        <v>2793</v>
      </c>
      <c r="G12" s="43">
        <f>G11+D12</f>
        <v/>
      </c>
      <c r="H12" s="23">
        <f>(G12-G8)/G8</f>
        <v/>
      </c>
      <c r="I12" s="43">
        <f>E12+I11</f>
        <v/>
      </c>
      <c r="J12" s="23">
        <f>(I12-I8)/I8</f>
        <v/>
      </c>
      <c r="K12" s="16" t="n"/>
      <c r="L12" s="16" t="n"/>
      <c r="M12" s="16" t="n"/>
      <c r="N12" s="16" t="n"/>
      <c r="O12" s="16" t="n"/>
      <c r="P12" s="16" t="n"/>
    </row>
    <row r="13">
      <c r="A13" s="16" t="inlineStr">
        <is>
          <t>2023Q4</t>
        </is>
      </c>
      <c r="B13" s="16" t="n">
        <v>843</v>
      </c>
      <c r="C13" s="16" t="n">
        <v>2811</v>
      </c>
      <c r="D13" s="16" t="n">
        <v>3654</v>
      </c>
      <c r="E13" s="16" t="n">
        <v>3800</v>
      </c>
      <c r="F13" s="16" t="n">
        <v>3285</v>
      </c>
      <c r="G13" s="43">
        <f>G12+D13</f>
        <v/>
      </c>
      <c r="H13" s="23">
        <f>(G13-G9)/G9</f>
        <v/>
      </c>
      <c r="I13" s="43">
        <f>E13+I12</f>
        <v/>
      </c>
      <c r="J13" s="23">
        <f>(I13-I9)/I9</f>
        <v/>
      </c>
      <c r="K13" s="16" t="n"/>
      <c r="L13" s="16" t="n"/>
      <c r="M13" s="16" t="n"/>
      <c r="N13" s="16" t="n"/>
      <c r="O13" s="16" t="n"/>
      <c r="P13" s="16" t="n"/>
    </row>
    <row r="14">
      <c r="A14" s="16" t="inlineStr">
        <is>
          <t>2024Q1</t>
        </is>
      </c>
      <c r="B14" s="16" t="n">
        <v>3269</v>
      </c>
      <c r="C14" s="16" t="n">
        <v>2100</v>
      </c>
      <c r="D14" s="16" t="n">
        <v>5360</v>
      </c>
      <c r="E14" s="16" t="n">
        <v>4475</v>
      </c>
      <c r="F14" s="16" t="n">
        <v>3524</v>
      </c>
      <c r="G14" s="16" t="n">
        <v>5360</v>
      </c>
      <c r="H14" s="23">
        <f>(G14-G10)/G10</f>
        <v/>
      </c>
      <c r="I14" s="16" t="n">
        <v>4475</v>
      </c>
      <c r="J14" s="23">
        <f>(I14-I10)/I10</f>
        <v/>
      </c>
      <c r="K14" s="16" t="n"/>
      <c r="L14" s="16" t="n"/>
      <c r="M14" s="16" t="n"/>
      <c r="N14" s="16" t="n"/>
      <c r="O14" s="16" t="n"/>
      <c r="P14" s="16" t="n"/>
    </row>
    <row r="15">
      <c r="A15" s="16" t="inlineStr">
        <is>
          <t>2024Q2</t>
        </is>
      </c>
      <c r="B15" s="16" t="n">
        <v>1649</v>
      </c>
      <c r="C15" s="16" t="n">
        <v>3232</v>
      </c>
      <c r="D15" s="16" t="n">
        <v>4890</v>
      </c>
      <c r="E15" s="16" t="n">
        <v>5200</v>
      </c>
      <c r="F15" s="16" t="n">
        <v>4775</v>
      </c>
      <c r="G15" s="43">
        <f>G14+D15</f>
        <v/>
      </c>
      <c r="H15" s="23">
        <f>(G15-G11)/G11</f>
        <v/>
      </c>
      <c r="I15" s="43">
        <f>E15+I14</f>
        <v/>
      </c>
      <c r="J15" s="23">
        <f>(I15-I11)/I11</f>
        <v/>
      </c>
      <c r="K15" s="16" t="n"/>
      <c r="L15" s="16" t="n"/>
      <c r="M15" s="16" t="n"/>
      <c r="N15" s="16" t="n"/>
      <c r="O15" s="16" t="n"/>
      <c r="P15" s="16" t="n"/>
    </row>
    <row r="16">
      <c r="A16" s="16" t="inlineStr">
        <is>
          <t>2024Q3</t>
        </is>
      </c>
      <c r="B16" s="16" t="n"/>
      <c r="C16" s="16" t="n"/>
      <c r="D16" s="16" t="n">
        <v>4939</v>
      </c>
      <c r="E16" s="16" t="n">
        <v>4765</v>
      </c>
      <c r="F16" s="16" t="n">
        <v>5141</v>
      </c>
      <c r="G16" s="43">
        <f>G15+D16</f>
        <v/>
      </c>
      <c r="H16" s="23">
        <f>(G16-G12)/G12</f>
        <v/>
      </c>
      <c r="I16" s="43">
        <f>E16+I15</f>
        <v/>
      </c>
      <c r="J16" s="23">
        <f>(I16-I12)/I12</f>
        <v/>
      </c>
      <c r="K16" s="16" t="n"/>
      <c r="L16" s="16" t="n"/>
      <c r="M16" s="16" t="n"/>
      <c r="N16" s="16" t="n"/>
      <c r="O16" s="16" t="n"/>
      <c r="P16" s="16" t="n"/>
    </row>
    <row r="17">
      <c r="A17" s="16" t="inlineStr">
        <is>
          <t>2024Q4</t>
        </is>
      </c>
      <c r="B17" s="16" t="n"/>
      <c r="C17" s="16" t="n"/>
      <c r="D17" s="16" t="n">
        <v>4248</v>
      </c>
      <c r="E17" s="16" t="n">
        <v>4475</v>
      </c>
      <c r="F17" s="16" t="n">
        <v>4067</v>
      </c>
      <c r="G17" s="43">
        <f>G16+D17</f>
        <v/>
      </c>
      <c r="H17" s="23">
        <f>(G17-G13)/G13</f>
        <v/>
      </c>
      <c r="I17" s="43">
        <f>E17+I16</f>
        <v/>
      </c>
      <c r="J17" s="23">
        <f>(I17-I13)/I13</f>
        <v/>
      </c>
      <c r="K17" s="16" t="n"/>
      <c r="L17" s="16" t="n"/>
      <c r="M17" s="16" t="n"/>
      <c r="N17" s="16" t="n"/>
      <c r="O17" s="16" t="n"/>
      <c r="P17" s="16" t="n"/>
    </row>
    <row r="18">
      <c r="A18" s="16" t="inlineStr">
        <is>
          <t>2025Q1</t>
        </is>
      </c>
      <c r="B18" s="16" t="n"/>
      <c r="C18" s="16" t="n"/>
      <c r="D18" s="16" t="n">
        <v>3215</v>
      </c>
      <c r="E18" s="16" t="n">
        <v>3095</v>
      </c>
      <c r="F18" s="16" t="n">
        <v>2824</v>
      </c>
      <c r="G18" s="43" t="n">
        <v>3215</v>
      </c>
      <c r="H18" s="23">
        <f>(G18-G14)/G14</f>
        <v/>
      </c>
      <c r="I18" s="43" t="n">
        <v>3095</v>
      </c>
      <c r="J18" s="23">
        <f>(I18-I14)/I14</f>
        <v/>
      </c>
      <c r="K18" s="16" t="n"/>
      <c r="L18" s="16" t="n"/>
      <c r="M18" s="16" t="n"/>
      <c r="N18" s="16" t="n"/>
      <c r="O18" s="16" t="n"/>
      <c r="P18" s="16" t="n"/>
    </row>
    <row r="19">
      <c r="A19" s="16" t="inlineStr">
        <is>
          <t>2025Q2</t>
        </is>
      </c>
      <c r="B19" s="16" t="n"/>
      <c r="C19" s="16" t="n"/>
      <c r="D19" s="16" t="n">
        <v>3782</v>
      </c>
      <c r="E19" s="16" t="n">
        <v>3775</v>
      </c>
      <c r="F19" s="16" t="n">
        <v>3159</v>
      </c>
      <c r="G19" s="43">
        <f>G18+D19</f>
        <v/>
      </c>
      <c r="H19" s="23">
        <f>(G19-G15)/G15</f>
        <v/>
      </c>
      <c r="I19" s="43">
        <f>E19+I18</f>
        <v/>
      </c>
      <c r="J19" s="23">
        <f>(I19-I15)/I15</f>
        <v/>
      </c>
      <c r="K19" s="16" t="n"/>
      <c r="L19" s="16" t="n"/>
      <c r="M19" s="16" t="n"/>
      <c r="N19" s="16" t="n"/>
      <c r="O19" s="16" t="n"/>
      <c r="P19" s="16" t="n"/>
      <c r="T19" s="16" t="inlineStr">
        <is>
          <t>ore</t>
        </is>
      </c>
      <c r="U19" s="16" t="inlineStr">
        <is>
          <t>Refine</t>
        </is>
      </c>
      <c r="V19" s="16" t="inlineStr">
        <is>
          <t>Sale</t>
        </is>
      </c>
      <c r="W19" s="121" t="inlineStr">
        <is>
          <t>营业收入</t>
        </is>
      </c>
      <c r="X19" s="121" t="inlineStr">
        <is>
          <t>利润</t>
        </is>
      </c>
      <c r="Y19" s="121" t="inlineStr">
        <is>
          <t>锡成品库存</t>
        </is>
      </c>
      <c r="Z19" s="121" t="inlineStr">
        <is>
          <t>锡在产库存</t>
        </is>
      </c>
      <c r="AA19" s="121" t="inlineStr">
        <is>
          <t>锡矿库存</t>
        </is>
      </c>
    </row>
    <row r="20">
      <c r="A20" s="16" t="inlineStr">
        <is>
          <t>2025Q3</t>
        </is>
      </c>
      <c r="B20" s="16" t="n"/>
      <c r="C20" s="16" t="n"/>
      <c r="D20" s="16" t="n">
        <v>5200</v>
      </c>
      <c r="E20" s="16" t="n">
        <v>3985</v>
      </c>
      <c r="F20" s="16" t="n">
        <v>3486</v>
      </c>
      <c r="G20" s="43">
        <f>G19+D20</f>
        <v/>
      </c>
      <c r="H20" s="23">
        <f>(G20-G16)/G16</f>
        <v/>
      </c>
      <c r="I20" s="43">
        <f>E20+I19</f>
        <v/>
      </c>
      <c r="J20" s="23">
        <f>(I20-I16)/I16</f>
        <v/>
      </c>
      <c r="K20" s="16" t="n"/>
      <c r="L20" s="16" t="n"/>
      <c r="M20" s="16" t="n"/>
      <c r="N20" s="16" t="n"/>
      <c r="O20" s="16" t="n"/>
      <c r="P20" s="16" t="n"/>
      <c r="S20" s="16" t="inlineStr">
        <is>
          <t>2021Q1</t>
        </is>
      </c>
      <c r="T20" s="16" t="n">
        <v>5025</v>
      </c>
      <c r="U20" s="16" t="n">
        <v>5220</v>
      </c>
      <c r="V20" s="16" t="n">
        <v>5912</v>
      </c>
      <c r="W20" s="16" t="n"/>
    </row>
    <row r="21">
      <c r="A21" s="16" t="inlineStr">
        <is>
          <t>2025Q4</t>
        </is>
      </c>
      <c r="B21" s="16" t="n"/>
      <c r="C21" s="16" t="n"/>
      <c r="D21" s="16" t="n">
        <v>6438</v>
      </c>
      <c r="E21" s="16" t="n">
        <v>6960</v>
      </c>
      <c r="F21" s="16" t="n">
        <v>7165</v>
      </c>
      <c r="G21" s="43">
        <f>G20+D21</f>
        <v/>
      </c>
      <c r="H21" s="23">
        <f>(G21-G17)/G17</f>
        <v/>
      </c>
      <c r="I21" s="43">
        <f>E21+I20</f>
        <v/>
      </c>
      <c r="J21" s="23">
        <f>(I21-I17)/I17</f>
        <v/>
      </c>
      <c r="K21" s="16" t="n"/>
      <c r="L21" s="16" t="n"/>
      <c r="M21" s="16" t="n"/>
      <c r="N21" s="16" t="n"/>
      <c r="O21" s="16" t="n"/>
      <c r="P21" s="16" t="n"/>
      <c r="S21" s="16" t="inlineStr">
        <is>
          <t>2021Q2</t>
        </is>
      </c>
      <c r="T21" s="16" t="n">
        <v>6432</v>
      </c>
      <c r="U21" s="16" t="n">
        <v>6695</v>
      </c>
      <c r="V21" s="16" t="n">
        <v>6611</v>
      </c>
      <c r="W21" s="16" t="n"/>
    </row>
    <row r="22" ht="14.4" customHeight="1">
      <c r="A22" s="16" t="inlineStr">
        <is>
          <t>2026Q1</t>
        </is>
      </c>
      <c r="B22" s="16" t="n"/>
      <c r="C22" s="16" t="n"/>
      <c r="D22" s="16" t="n">
        <v>6312</v>
      </c>
      <c r="E22" s="16" t="n">
        <v>5630</v>
      </c>
      <c r="F22" s="16" t="n">
        <v>6009</v>
      </c>
      <c r="G22" s="43" t="n">
        <v>6312</v>
      </c>
      <c r="H22" s="23">
        <f>(G22-G18)/G18</f>
        <v/>
      </c>
      <c r="I22" s="43" t="n">
        <v>5630</v>
      </c>
      <c r="J22" s="23">
        <f>(I22-I18)/I18</f>
        <v/>
      </c>
      <c r="S22" s="16" t="inlineStr">
        <is>
          <t>2021Q3</t>
        </is>
      </c>
      <c r="T22" s="16" t="n">
        <v>6472</v>
      </c>
      <c r="U22" s="16" t="n">
        <v>7205</v>
      </c>
      <c r="V22" s="16" t="n">
        <v>6536</v>
      </c>
      <c r="W22" s="16" t="n"/>
    </row>
    <row r="23">
      <c r="A23" t="inlineStr">
        <is>
          <t>2026Q2</t>
        </is>
      </c>
      <c r="D23" t="n">
        <v>5920</v>
      </c>
      <c r="E23" t="n">
        <v>5235</v>
      </c>
      <c r="G23">
        <f>G22+D23</f>
        <v/>
      </c>
      <c r="H23">
        <f>(G23-G19)/G19</f>
        <v/>
      </c>
    </row>
    <row r="24">
      <c r="A24" s="16" t="inlineStr">
        <is>
          <t>2021Q1</t>
        </is>
      </c>
      <c r="B24" s="16" t="n">
        <v>5025</v>
      </c>
      <c r="C24" s="16" t="n">
        <v>5220</v>
      </c>
      <c r="D24" s="16" t="n">
        <v>5912</v>
      </c>
      <c r="E24" s="16" t="n"/>
      <c r="S24" s="16" t="inlineStr">
        <is>
          <t>2021Q4</t>
        </is>
      </c>
      <c r="T24" s="16" t="n">
        <v>6741</v>
      </c>
      <c r="U24" s="16" t="n">
        <v>7345</v>
      </c>
      <c r="V24" s="16" t="n">
        <v>7543</v>
      </c>
      <c r="W24" s="16" t="n"/>
    </row>
    <row r="25">
      <c r="A25" s="16" t="inlineStr">
        <is>
          <t>2021Q2</t>
        </is>
      </c>
      <c r="B25" s="16" t="n">
        <v>6432</v>
      </c>
      <c r="C25" s="16" t="n">
        <v>6695</v>
      </c>
      <c r="D25" s="16" t="n">
        <v>6611</v>
      </c>
      <c r="E25" s="16" t="n"/>
      <c r="S25" s="16" t="inlineStr">
        <is>
          <t>2022Q1</t>
        </is>
      </c>
      <c r="T25" s="16" t="n">
        <v>4508</v>
      </c>
      <c r="U25" s="16" t="n">
        <v>4820</v>
      </c>
      <c r="V25" s="16" t="n">
        <v>5703</v>
      </c>
      <c r="W25" s="23" t="n"/>
    </row>
    <row r="26">
      <c r="A26" s="16" t="inlineStr">
        <is>
          <t>2021Q3</t>
        </is>
      </c>
      <c r="B26" s="16" t="n">
        <v>6472</v>
      </c>
      <c r="C26" s="16" t="n">
        <v>7205</v>
      </c>
      <c r="D26" s="16" t="n">
        <v>6536</v>
      </c>
      <c r="E26" s="16" t="n"/>
      <c r="S26" s="16" t="inlineStr">
        <is>
          <t>2022Q2</t>
        </is>
      </c>
      <c r="T26" s="16" t="n">
        <v>5393</v>
      </c>
      <c r="U26" s="16" t="n">
        <v>3985</v>
      </c>
      <c r="V26" s="16" t="n">
        <v>4239</v>
      </c>
      <c r="W26" s="23" t="n"/>
    </row>
    <row r="27">
      <c r="A27" s="16" t="inlineStr">
        <is>
          <t>2021Q4</t>
        </is>
      </c>
      <c r="B27" s="16" t="n">
        <v>6741</v>
      </c>
      <c r="C27" s="16" t="n">
        <v>7345</v>
      </c>
      <c r="D27" s="16" t="n">
        <v>7543</v>
      </c>
      <c r="E27" s="16" t="n"/>
      <c r="S27" s="16" t="inlineStr">
        <is>
          <t>2022Q3</t>
        </is>
      </c>
      <c r="T27" s="16" t="n">
        <v>4601</v>
      </c>
      <c r="U27" s="16" t="n">
        <v>5325</v>
      </c>
      <c r="V27" s="16" t="n">
        <v>5383</v>
      </c>
      <c r="W27" s="23" t="n"/>
    </row>
    <row r="28">
      <c r="A28" s="16" t="inlineStr">
        <is>
          <t>2022Q1</t>
        </is>
      </c>
      <c r="B28" s="16" t="n">
        <v>4508</v>
      </c>
      <c r="C28" s="16" t="n">
        <v>4820</v>
      </c>
      <c r="D28" s="16" t="n">
        <v>5703</v>
      </c>
      <c r="E28" s="23" t="n"/>
      <c r="S28" s="16" t="inlineStr">
        <is>
          <t>2022Q4</t>
        </is>
      </c>
      <c r="T28" s="16" t="n">
        <v>5577</v>
      </c>
      <c r="U28" s="16" t="n">
        <v>5695</v>
      </c>
      <c r="V28" s="16" t="n">
        <v>5480</v>
      </c>
      <c r="W28" s="23" t="n"/>
    </row>
    <row r="29">
      <c r="A29" s="16" t="inlineStr">
        <is>
          <t>2022Q2</t>
        </is>
      </c>
      <c r="B29" s="16" t="n">
        <v>5393</v>
      </c>
      <c r="C29" s="16" t="n">
        <v>3985</v>
      </c>
      <c r="D29" s="16" t="n">
        <v>4239</v>
      </c>
      <c r="E29" s="23" t="n"/>
      <c r="S29" s="16" t="inlineStr">
        <is>
          <t>2023Q1</t>
        </is>
      </c>
      <c r="T29" s="16" t="n">
        <v>4139</v>
      </c>
      <c r="U29" s="16" t="n">
        <v>3970</v>
      </c>
      <c r="V29" s="16" t="n">
        <v>4246</v>
      </c>
      <c r="W29" s="23" t="n"/>
    </row>
    <row r="30">
      <c r="A30" s="16" t="inlineStr">
        <is>
          <t>2022Q3</t>
        </is>
      </c>
      <c r="B30" s="16" t="n">
        <v>4601</v>
      </c>
      <c r="C30" s="16" t="n">
        <v>5325</v>
      </c>
      <c r="D30" s="16" t="n">
        <v>5383</v>
      </c>
      <c r="E30" s="23" t="n"/>
      <c r="S30" s="16" t="inlineStr">
        <is>
          <t>2023Q2</t>
        </is>
      </c>
      <c r="T30" s="16" t="n">
        <v>3616</v>
      </c>
      <c r="U30" s="16" t="n">
        <v>4130</v>
      </c>
      <c r="V30" s="16" t="n">
        <v>4061</v>
      </c>
      <c r="W30" s="23" t="n"/>
    </row>
    <row r="31">
      <c r="A31" s="16" t="inlineStr">
        <is>
          <t>2022Q4</t>
        </is>
      </c>
      <c r="B31" s="16" t="n">
        <v>5577</v>
      </c>
      <c r="C31" s="16" t="n">
        <v>5695</v>
      </c>
      <c r="D31" s="16" t="n">
        <v>5480</v>
      </c>
      <c r="E31" s="23" t="n"/>
      <c r="S31" s="16" t="inlineStr">
        <is>
          <t>2023Q3</t>
        </is>
      </c>
      <c r="T31" s="16" t="n">
        <v>3446</v>
      </c>
      <c r="U31" s="16" t="n">
        <v>3440</v>
      </c>
      <c r="V31" s="16" t="n">
        <v>2793</v>
      </c>
      <c r="W31" s="23" t="n"/>
    </row>
    <row r="32">
      <c r="A32" s="16" t="inlineStr">
        <is>
          <t>2023Q1</t>
        </is>
      </c>
      <c r="B32" s="16" t="n">
        <v>4139</v>
      </c>
      <c r="C32" s="16" t="n">
        <v>3970</v>
      </c>
      <c r="D32" s="16" t="n">
        <v>4246</v>
      </c>
      <c r="E32" s="23" t="n"/>
      <c r="S32" s="16" t="inlineStr">
        <is>
          <t>2023Q4</t>
        </is>
      </c>
      <c r="T32" s="16" t="n">
        <v>3654</v>
      </c>
      <c r="U32" s="16" t="n">
        <v>3800</v>
      </c>
      <c r="V32" s="16" t="n">
        <v>3285</v>
      </c>
      <c r="W32" s="23" t="n"/>
    </row>
    <row r="33">
      <c r="A33" s="16" t="inlineStr">
        <is>
          <t>2023Q2</t>
        </is>
      </c>
      <c r="B33" s="16" t="n">
        <v>3616</v>
      </c>
      <c r="C33" s="16" t="n">
        <v>4130</v>
      </c>
      <c r="D33" s="16" t="n">
        <v>4061</v>
      </c>
      <c r="E33" s="23" t="n"/>
      <c r="S33" s="16" t="inlineStr">
        <is>
          <t>2024Q1</t>
        </is>
      </c>
      <c r="T33" s="16" t="n">
        <v>5360</v>
      </c>
      <c r="U33" s="16" t="n">
        <v>4475</v>
      </c>
      <c r="V33" s="16" t="n">
        <v>3524</v>
      </c>
      <c r="W33" s="23" t="n"/>
      <c r="X33" s="16" t="n">
        <v>29549</v>
      </c>
      <c r="Y33" s="16" t="n">
        <v>747863</v>
      </c>
    </row>
    <row r="34">
      <c r="A34" s="16" t="inlineStr">
        <is>
          <t>2023Q3</t>
        </is>
      </c>
      <c r="B34" s="16" t="n">
        <v>3446</v>
      </c>
      <c r="C34" s="16" t="n">
        <v>3440</v>
      </c>
      <c r="D34" s="16" t="n">
        <v>2793</v>
      </c>
      <c r="E34" s="23" t="n"/>
      <c r="S34" s="16" t="inlineStr">
        <is>
          <t>2024Q2</t>
        </is>
      </c>
      <c r="T34" s="16" t="n">
        <v>4890</v>
      </c>
      <c r="U34" s="16" t="n">
        <v>5200</v>
      </c>
      <c r="V34" s="16" t="n">
        <v>4775</v>
      </c>
      <c r="W34" s="23" t="n"/>
    </row>
    <row r="35">
      <c r="A35" s="16" t="inlineStr">
        <is>
          <t>2023Q4</t>
        </is>
      </c>
      <c r="B35" s="16" t="n">
        <v>3654</v>
      </c>
      <c r="C35" s="16" t="n">
        <v>3800</v>
      </c>
      <c r="D35" s="16" t="n">
        <v>3285</v>
      </c>
      <c r="E35" s="23" t="n"/>
      <c r="S35" s="16" t="inlineStr">
        <is>
          <t>2024Q3</t>
        </is>
      </c>
      <c r="T35" s="16" t="n">
        <v>4939</v>
      </c>
      <c r="U35" s="16" t="n">
        <v>4765</v>
      </c>
      <c r="V35" s="16" t="n">
        <v>5141</v>
      </c>
      <c r="W35" s="23" t="n"/>
    </row>
    <row r="36">
      <c r="A36" s="16" t="inlineStr">
        <is>
          <t>2024Q1</t>
        </is>
      </c>
      <c r="B36" s="16" t="n">
        <v>5360</v>
      </c>
      <c r="C36" s="16" t="n">
        <v>4475</v>
      </c>
      <c r="D36" s="16" t="n">
        <v>3524</v>
      </c>
      <c r="E36" s="23" t="n"/>
      <c r="S36" s="16" t="inlineStr">
        <is>
          <t>2024Q4</t>
        </is>
      </c>
      <c r="T36" t="n">
        <v>4248</v>
      </c>
      <c r="U36" t="n">
        <v>4475</v>
      </c>
      <c r="V36" t="n">
        <v>4067</v>
      </c>
    </row>
    <row r="37">
      <c r="A37" s="16" t="inlineStr">
        <is>
          <t>2024Q2</t>
        </is>
      </c>
      <c r="B37" s="16" t="n">
        <v>4890</v>
      </c>
      <c r="C37" s="16" t="n">
        <v>5200</v>
      </c>
      <c r="D37" s="16" t="n">
        <v>4775</v>
      </c>
      <c r="E37" s="23" t="n"/>
      <c r="S37" s="16" t="inlineStr">
        <is>
          <t>2025Q1</t>
        </is>
      </c>
      <c r="T37" t="n">
        <v>3215</v>
      </c>
      <c r="U37" t="n">
        <v>3095</v>
      </c>
      <c r="V37" t="n">
        <v>2824</v>
      </c>
    </row>
    <row r="38">
      <c r="A38" s="16" t="inlineStr">
        <is>
          <t>2024Q3</t>
        </is>
      </c>
      <c r="B38" s="16" t="n">
        <v>4939</v>
      </c>
      <c r="C38" s="16" t="n">
        <v>4765</v>
      </c>
      <c r="D38" s="16" t="n">
        <v>5141</v>
      </c>
      <c r="E38" s="23" t="n"/>
      <c r="S38" s="16" t="inlineStr">
        <is>
          <t>2025Q2</t>
        </is>
      </c>
      <c r="T38" t="n">
        <v>3782</v>
      </c>
      <c r="U38" t="n">
        <v>3775</v>
      </c>
      <c r="V38" t="n">
        <v>3159</v>
      </c>
    </row>
    <row r="39">
      <c r="A39" s="16" t="inlineStr">
        <is>
          <t>2024Q4</t>
        </is>
      </c>
      <c r="B39" s="16" t="n">
        <v>4248</v>
      </c>
      <c r="C39" s="16" t="n">
        <v>4475</v>
      </c>
      <c r="D39" s="16" t="n">
        <v>4067</v>
      </c>
      <c r="S39" s="16" t="inlineStr">
        <is>
          <t>2025Q3</t>
        </is>
      </c>
      <c r="T39" t="n">
        <v>5200</v>
      </c>
      <c r="U39" t="n">
        <v>3985</v>
      </c>
      <c r="V39" t="n">
        <v>3486</v>
      </c>
    </row>
    <row r="40">
      <c r="A40" s="16" t="inlineStr">
        <is>
          <t>2025Q1</t>
        </is>
      </c>
      <c r="B40" s="16" t="n">
        <v>3215</v>
      </c>
      <c r="C40" s="16" t="n">
        <v>3095</v>
      </c>
      <c r="D40" s="16" t="n">
        <v>2824</v>
      </c>
      <c r="S40" t="inlineStr">
        <is>
          <t>2025Q4</t>
        </is>
      </c>
      <c r="T40" t="n">
        <v>6438</v>
      </c>
      <c r="U40" t="n">
        <v>6960</v>
      </c>
      <c r="V40" t="n">
        <v>7165</v>
      </c>
    </row>
    <row r="41">
      <c r="A41" s="16" t="inlineStr">
        <is>
          <t>2025Q2</t>
        </is>
      </c>
      <c r="B41" s="16" t="n">
        <v>3782</v>
      </c>
      <c r="C41" s="16" t="n">
        <v>3775</v>
      </c>
      <c r="D41" s="16" t="n">
        <v>3159</v>
      </c>
      <c r="S41" t="inlineStr">
        <is>
          <t>2026Q1</t>
        </is>
      </c>
      <c r="T41" t="n">
        <v>6312</v>
      </c>
      <c r="U41" t="n">
        <v>5630</v>
      </c>
      <c r="V41" t="n">
        <v>6009</v>
      </c>
    </row>
    <row r="42">
      <c r="A42" s="16" t="inlineStr">
        <is>
          <t>2025Q3</t>
        </is>
      </c>
      <c r="B42" s="16" t="n">
        <v>5200</v>
      </c>
      <c r="C42" s="16" t="n">
        <v>3985</v>
      </c>
      <c r="D42" s="16" t="n">
        <v>3486</v>
      </c>
    </row>
    <row r="43">
      <c r="A43" s="16" t="inlineStr">
        <is>
          <t>2025Q4</t>
        </is>
      </c>
      <c r="B43" s="16" t="n">
        <v>6438</v>
      </c>
      <c r="C43" s="16" t="n">
        <v>6960</v>
      </c>
      <c r="D43" s="16" t="n">
        <v>7165</v>
      </c>
    </row>
    <row r="44">
      <c r="A44" s="16" t="inlineStr">
        <is>
          <t>2026Q1</t>
        </is>
      </c>
      <c r="B44" s="16" t="n">
        <v>6312</v>
      </c>
      <c r="C44" s="16" t="n">
        <v>5630</v>
      </c>
      <c r="D44" s="16" t="n">
        <v>6009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0"/>
  <sheetViews>
    <sheetView topLeftCell="C9" workbookViewId="0">
      <selection activeCell="J23" sqref="J23:O30"/>
    </sheetView>
  </sheetViews>
  <sheetFormatPr baseColWidth="8" defaultRowHeight="13.8"/>
  <cols>
    <col width="13.5546875" bestFit="1" customWidth="1" min="2" max="2"/>
    <col width="13.109375" bestFit="1" customWidth="1" min="3" max="3"/>
    <col width="10.88671875" bestFit="1" customWidth="1" min="4" max="4"/>
    <col width="9.5546875" bestFit="1" customWidth="1" min="10" max="11"/>
    <col width="6.5546875" bestFit="1" customWidth="1" min="12" max="15"/>
    <col width="6.5546875" bestFit="1" customWidth="1" style="135" min="16" max="16"/>
    <col width="7.88671875" bestFit="1" customWidth="1" min="17" max="17"/>
    <col width="10.33203125" customWidth="1" min="18" max="18"/>
    <col width="7.5546875" bestFit="1" customWidth="1" min="19" max="19"/>
    <col width="24.88671875" bestFit="1" customWidth="1" min="20" max="21"/>
  </cols>
  <sheetData>
    <row r="1" ht="15.6" customHeight="1">
      <c r="B1" s="27" t="inlineStr">
        <is>
          <t>兴业银锡</t>
        </is>
      </c>
      <c r="C1" s="27" t="inlineStr">
        <is>
          <t>云南锡业</t>
        </is>
      </c>
      <c r="D1" s="27" t="inlineStr">
        <is>
          <t>华锡矿业</t>
        </is>
      </c>
      <c r="E1" s="42" t="inlineStr">
        <is>
          <t>刚果Alphamin</t>
        </is>
      </c>
      <c r="F1" s="1" t="inlineStr">
        <is>
          <t>澳洲Metals X</t>
        </is>
      </c>
      <c r="G1" s="19" t="inlineStr">
        <is>
          <t>印尼Timah</t>
        </is>
      </c>
      <c r="I1" s="19" t="inlineStr">
        <is>
          <t>矿</t>
        </is>
      </c>
      <c r="J1" s="98" t="inlineStr">
        <is>
          <t>公司</t>
        </is>
      </c>
      <c r="K1" s="94" t="inlineStr">
        <is>
          <t>国家</t>
        </is>
      </c>
      <c r="L1" s="94" t="n">
        <v>2021</v>
      </c>
      <c r="M1" s="94" t="n">
        <v>2022</v>
      </c>
      <c r="N1" s="94" t="n">
        <v>2023</v>
      </c>
      <c r="O1" s="94" t="n">
        <v>2024</v>
      </c>
      <c r="P1" s="136" t="inlineStr">
        <is>
          <t>Yoy</t>
        </is>
      </c>
      <c r="Q1" s="96" t="inlineStr">
        <is>
          <t>2025Q1</t>
        </is>
      </c>
      <c r="R1" s="96" t="inlineStr">
        <is>
          <t>2025Q2</t>
        </is>
      </c>
      <c r="S1" s="137" t="inlineStr">
        <is>
          <t>同比变化</t>
        </is>
      </c>
      <c r="T1" s="94" t="inlineStr">
        <is>
          <t>25指引</t>
        </is>
      </c>
      <c r="U1" s="101" t="inlineStr">
        <is>
          <t>增产/减产原因</t>
        </is>
      </c>
      <c r="V1" t="inlineStr">
        <is>
          <t>2025全年</t>
        </is>
      </c>
      <c r="W1" t="inlineStr">
        <is>
          <t>2026Q1</t>
        </is>
      </c>
    </row>
    <row r="2">
      <c r="A2" s="16" t="n">
        <v>2021</v>
      </c>
      <c r="E2" s="16" t="n">
        <v>10969</v>
      </c>
      <c r="F2" s="18" t="n">
        <v>7955.4817992</v>
      </c>
      <c r="G2" s="16" t="n">
        <v>24670</v>
      </c>
      <c r="J2" s="99" t="inlineStr">
        <is>
          <t>云南锡业</t>
        </is>
      </c>
      <c r="K2" s="85" t="inlineStr">
        <is>
          <t>中国</t>
        </is>
      </c>
      <c r="L2" s="85" t="n">
        <v>35000</v>
      </c>
      <c r="M2" s="85" t="n">
        <v>34383</v>
      </c>
      <c r="N2" s="85" t="n">
        <v>31958</v>
      </c>
      <c r="O2" s="86" t="n">
        <v>31173</v>
      </c>
      <c r="P2" s="138">
        <f>(O2-N2)/N2</f>
        <v/>
      </c>
      <c r="Q2" s="87" t="n">
        <v>8360</v>
      </c>
      <c r="R2" s="16" t="n">
        <v>8487</v>
      </c>
      <c r="S2" s="87" t="inlineStr">
        <is>
          <t>/</t>
        </is>
      </c>
      <c r="T2" s="85" t="n">
        <v>32000</v>
      </c>
      <c r="U2" s="102" t="inlineStr">
        <is>
          <t>2025Q1/Q2为拟合估算（年度31788×产品锡季节分布26.3/26.7/21.6/25.4%），详见「季度补充」表</t>
        </is>
      </c>
      <c r="V2" t="n">
        <v>31788</v>
      </c>
      <c r="W2" s="98" t="inlineStr">
        <is>
          <t>/</t>
        </is>
      </c>
      <c r="X2" s="94" t="inlineStr">
        <is>
          <t>国家</t>
        </is>
      </c>
      <c r="Y2" s="94" t="n">
        <v>2021</v>
      </c>
      <c r="Z2" s="94" t="n">
        <v>2022</v>
      </c>
      <c r="AA2" s="94" t="n">
        <v>2023</v>
      </c>
      <c r="AB2" s="94" t="n">
        <v>2024</v>
      </c>
      <c r="AC2" s="136" t="inlineStr">
        <is>
          <t>Yoy</t>
        </is>
      </c>
      <c r="AD2" s="96" t="inlineStr">
        <is>
          <t>2025Q1</t>
        </is>
      </c>
      <c r="AE2" s="137" t="inlineStr">
        <is>
          <t>同比变化</t>
        </is>
      </c>
      <c r="AF2" s="94" t="inlineStr">
        <is>
          <t>25指引</t>
        </is>
      </c>
      <c r="AG2" s="101" t="inlineStr">
        <is>
          <t>增产/减产原因</t>
        </is>
      </c>
    </row>
    <row r="3">
      <c r="A3" s="16" t="n">
        <v>2022</v>
      </c>
      <c r="E3" s="16" t="n">
        <v>12643</v>
      </c>
      <c r="F3" s="18" t="n">
        <v>9670.681931679999</v>
      </c>
      <c r="G3" s="16" t="n">
        <v>20079</v>
      </c>
      <c r="J3" s="99" t="inlineStr">
        <is>
          <t>PT Timah</t>
        </is>
      </c>
      <c r="K3" s="85" t="inlineStr">
        <is>
          <t>印尼</t>
        </is>
      </c>
      <c r="L3" s="85" t="n">
        <v>24670</v>
      </c>
      <c r="M3" s="85" t="n">
        <v>20079</v>
      </c>
      <c r="N3" s="85" t="n">
        <v>14855</v>
      </c>
      <c r="O3" s="86" t="n">
        <v>19437</v>
      </c>
      <c r="P3" s="138">
        <f>(O3-N3)/N3</f>
        <v/>
      </c>
      <c r="Q3" s="87" t="n">
        <v>3215</v>
      </c>
      <c r="R3" s="16">
        <f>6997-Q3</f>
        <v/>
      </c>
      <c r="S3" s="138" t="n">
        <v>-0.319</v>
      </c>
      <c r="T3" s="85" t="n">
        <v>20000</v>
      </c>
      <c r="U3" s="102" t="inlineStr">
        <is>
          <t>恶劣气候影响，矿山整治；26Q2 许可证重新审批延迟致环比-6%/-7%</t>
        </is>
      </c>
      <c r="V3" t="n">
        <v>18635</v>
      </c>
      <c r="W3" s="99" t="n">
        <v>6312</v>
      </c>
      <c r="X3" s="85" t="inlineStr">
        <is>
          <t>中国</t>
        </is>
      </c>
      <c r="Y3" s="85" t="n">
        <v>35000</v>
      </c>
      <c r="Z3" s="85" t="n">
        <v>34383</v>
      </c>
      <c r="AA3" s="85" t="n">
        <v>31958</v>
      </c>
      <c r="AB3" s="86" t="n">
        <v>31173</v>
      </c>
      <c r="AC3" s="138">
        <f>(AB3-AA3)/AA3</f>
        <v/>
      </c>
      <c r="AD3" s="87" t="inlineStr">
        <is>
          <t>/</t>
        </is>
      </c>
      <c r="AE3" s="87" t="inlineStr">
        <is>
          <t>/</t>
        </is>
      </c>
      <c r="AF3" s="85" t="n">
        <v>32000</v>
      </c>
      <c r="AG3" s="102" t="n"/>
    </row>
    <row r="4">
      <c r="A4" s="16" t="inlineStr">
        <is>
          <t>2023Q1</t>
        </is>
      </c>
      <c r="E4" s="16" t="n">
        <v>3293</v>
      </c>
      <c r="F4" s="16" t="n">
        <v>1981</v>
      </c>
      <c r="G4" s="16" t="n">
        <v>4302</v>
      </c>
      <c r="J4" s="99" t="inlineStr">
        <is>
          <t>明苏尔</t>
        </is>
      </c>
      <c r="K4" s="85" t="inlineStr">
        <is>
          <t>秘鲁</t>
        </is>
      </c>
      <c r="L4" s="85" t="n">
        <v>23992</v>
      </c>
      <c r="M4" s="85" t="n">
        <v>22946</v>
      </c>
      <c r="N4" s="85" t="n">
        <v>26173</v>
      </c>
      <c r="O4" s="86" t="n">
        <v>32310</v>
      </c>
      <c r="P4" s="138">
        <f>(O4-N4)/N4</f>
        <v/>
      </c>
      <c r="Q4" s="85" t="n">
        <v>8058</v>
      </c>
      <c r="R4" s="16" t="n">
        <v>8390</v>
      </c>
      <c r="S4" s="88" t="n">
        <v>0.075</v>
      </c>
      <c r="T4" s="85" t="n">
        <v>23000</v>
      </c>
      <c r="U4" s="102" t="inlineStr">
        <is>
          <t>平稳开采</t>
        </is>
      </c>
      <c r="V4" t="n">
        <v>33820</v>
      </c>
      <c r="W4" s="99" t="n">
        <v>7993</v>
      </c>
      <c r="X4" s="85" t="inlineStr">
        <is>
          <t>印尼</t>
        </is>
      </c>
      <c r="Y4" s="85" t="n">
        <v>24670</v>
      </c>
      <c r="Z4" s="85" t="n">
        <v>20079</v>
      </c>
      <c r="AA4" s="85" t="n">
        <v>14855</v>
      </c>
      <c r="AB4" s="86" t="n">
        <v>20581</v>
      </c>
      <c r="AC4" s="138">
        <f>(AB4-AA4)/AA4</f>
        <v/>
      </c>
      <c r="AD4" s="87" t="n">
        <v>3215</v>
      </c>
      <c r="AE4" s="138" t="n">
        <v>-0.4</v>
      </c>
      <c r="AF4" s="85" t="n">
        <v>20000</v>
      </c>
      <c r="AG4" s="102" t="inlineStr">
        <is>
          <t>矿山整合，气候影响</t>
        </is>
      </c>
    </row>
    <row r="5">
      <c r="A5" s="16" t="inlineStr">
        <is>
          <t>2023Q2</t>
        </is>
      </c>
      <c r="E5" s="16" t="n">
        <v>3151</v>
      </c>
      <c r="F5" s="16" t="n">
        <v>2292</v>
      </c>
      <c r="G5" s="16" t="n">
        <v>4102</v>
      </c>
      <c r="J5" s="99" t="inlineStr">
        <is>
          <t>Alphamin</t>
        </is>
      </c>
      <c r="K5" s="85" t="inlineStr">
        <is>
          <t>刚果</t>
        </is>
      </c>
      <c r="L5" s="85" t="n">
        <v>10969</v>
      </c>
      <c r="M5" s="85" t="n">
        <v>12366</v>
      </c>
      <c r="N5" s="85" t="n">
        <v>12568</v>
      </c>
      <c r="O5" s="85" t="n">
        <v>17323</v>
      </c>
      <c r="P5" s="138">
        <f>(O5-N5)/N5</f>
        <v/>
      </c>
      <c r="Q5" s="87" t="n">
        <v>4270</v>
      </c>
      <c r="R5" s="16" t="n">
        <v>4106</v>
      </c>
      <c r="S5" s="138" t="n">
        <v>0.169</v>
      </c>
      <c r="T5" s="85" t="n">
        <v>17500</v>
      </c>
      <c r="U5" s="102" t="inlineStr">
        <is>
          <t>新增投产落地</t>
        </is>
      </c>
      <c r="V5" t="n">
        <v>18576</v>
      </c>
      <c r="W5" s="99" t="n">
        <v>5026</v>
      </c>
      <c r="X5" s="85" t="inlineStr">
        <is>
          <t>秘鲁</t>
        </is>
      </c>
      <c r="Y5" s="85" t="n">
        <v>23992</v>
      </c>
      <c r="Z5" s="85" t="n">
        <v>22946</v>
      </c>
      <c r="AA5" s="85" t="n">
        <v>26173</v>
      </c>
      <c r="AB5" s="86" t="n">
        <v>32310</v>
      </c>
      <c r="AC5" s="138">
        <f>(AB5-AA5)/AA5</f>
        <v/>
      </c>
      <c r="AD5" s="85" t="n">
        <v>8058</v>
      </c>
      <c r="AE5" s="88" t="n">
        <v>0.005</v>
      </c>
      <c r="AF5" s="85" t="n">
        <v>23000</v>
      </c>
      <c r="AG5" s="102" t="n"/>
    </row>
    <row r="6">
      <c r="A6" s="16" t="inlineStr">
        <is>
          <t>2023Q3</t>
        </is>
      </c>
      <c r="E6" s="16" t="n">
        <v>3104</v>
      </c>
      <c r="F6" s="16" t="n">
        <v>2545</v>
      </c>
      <c r="G6" s="16" t="n">
        <v>5064</v>
      </c>
      <c r="J6" s="99" t="inlineStr">
        <is>
          <t>Metals X</t>
        </is>
      </c>
      <c r="K6" s="85" t="inlineStr">
        <is>
          <t>澳大利亚</t>
        </is>
      </c>
      <c r="L6" s="85" t="n">
        <v>8243</v>
      </c>
      <c r="M6" s="85" t="n">
        <v>8404</v>
      </c>
      <c r="N6" s="85" t="n">
        <v>9532</v>
      </c>
      <c r="O6" s="85" t="n">
        <v>11006</v>
      </c>
      <c r="P6" s="138">
        <f>(O6-N6)/N6</f>
        <v/>
      </c>
      <c r="Q6" s="87" t="n">
        <v>2432</v>
      </c>
      <c r="R6" s="16" t="n">
        <v>2724</v>
      </c>
      <c r="S6" s="138" t="n">
        <v>0.07911259941398074</v>
      </c>
      <c r="T6" s="85" t="n">
        <v>12000</v>
      </c>
      <c r="U6" s="102" t="inlineStr">
        <is>
          <t>品位上升</t>
        </is>
      </c>
      <c r="V6" t="n">
        <v>10747</v>
      </c>
      <c r="W6" s="99" t="n">
        <v>2887</v>
      </c>
      <c r="X6" s="85" t="inlineStr">
        <is>
          <t>中国</t>
        </is>
      </c>
      <c r="Y6" s="85" t="n">
        <v>10969</v>
      </c>
      <c r="Z6" s="85" t="n">
        <v>12366</v>
      </c>
      <c r="AA6" s="85" t="n">
        <v>12568</v>
      </c>
      <c r="AB6" s="85" t="n">
        <v>17323</v>
      </c>
      <c r="AC6" s="138">
        <f>(AB6-AA6)/AA6</f>
        <v/>
      </c>
      <c r="AD6" s="87" t="n">
        <v>4270</v>
      </c>
      <c r="AE6" s="138" t="n">
        <v>0.3590070019096117</v>
      </c>
      <c r="AF6" s="85" t="n">
        <v>17500</v>
      </c>
      <c r="AG6" s="102" t="inlineStr">
        <is>
          <t>新增投产落地，战乱影响</t>
        </is>
      </c>
    </row>
    <row r="7">
      <c r="A7" s="16" t="inlineStr">
        <is>
          <t>2023Q4</t>
        </is>
      </c>
      <c r="E7" s="16" t="n">
        <v>3126</v>
      </c>
      <c r="F7" s="16" t="n">
        <v>2714</v>
      </c>
      <c r="G7" s="16" t="n">
        <v>4203</v>
      </c>
      <c r="J7" s="99" t="inlineStr">
        <is>
          <t>华锡有色</t>
        </is>
      </c>
      <c r="K7" s="85" t="inlineStr">
        <is>
          <t>中国</t>
        </is>
      </c>
      <c r="L7" s="85" t="n">
        <v>6548</v>
      </c>
      <c r="M7" s="85" t="n">
        <v>5289</v>
      </c>
      <c r="N7" s="89" t="n">
        <v>6500</v>
      </c>
      <c r="O7" s="85" t="n">
        <v>6965</v>
      </c>
      <c r="P7" s="138">
        <f>(O7-N7)/N7</f>
        <v/>
      </c>
      <c r="Q7" s="87" t="n">
        <v>1624</v>
      </c>
      <c r="R7" s="87" t="n">
        <v>1650</v>
      </c>
      <c r="S7" s="87" t="inlineStr">
        <is>
          <t>/</t>
        </is>
      </c>
      <c r="T7" s="85" t="n">
        <v>6500</v>
      </c>
      <c r="U7" s="102" t="inlineStr">
        <is>
          <t>2025Q1披露值/Q2=H1累计相减；锡精矿(含低度锡)金属吨口径，详见「季度补充」表</t>
        </is>
      </c>
      <c r="V7" t="n">
        <v>6530</v>
      </c>
      <c r="W7" s="99" t="n">
        <v>1733</v>
      </c>
      <c r="X7" s="85" t="inlineStr">
        <is>
          <t>马来西亚</t>
        </is>
      </c>
      <c r="Y7" s="85" t="n">
        <v>8243</v>
      </c>
      <c r="Z7" s="85" t="n">
        <v>16500</v>
      </c>
      <c r="AA7" s="85" t="n">
        <v>9532</v>
      </c>
      <c r="AB7" s="85" t="n">
        <v>11006</v>
      </c>
      <c r="AC7" s="138">
        <f>(AB7-AA7)/AA7</f>
        <v/>
      </c>
      <c r="AD7" s="87" t="n">
        <v>2432</v>
      </c>
      <c r="AE7" s="138" t="n">
        <v>0.07042253521126761</v>
      </c>
      <c r="AF7" s="85" t="n">
        <v>12000</v>
      </c>
      <c r="AG7" s="102" t="inlineStr">
        <is>
          <t>品位上升</t>
        </is>
      </c>
    </row>
    <row r="8">
      <c r="A8" s="16" t="inlineStr">
        <is>
          <t>2024Q1</t>
        </is>
      </c>
      <c r="E8" s="16" t="n">
        <v>3142</v>
      </c>
      <c r="F8" s="16" t="n">
        <v>2272</v>
      </c>
      <c r="G8" s="16" t="n">
        <v>5360</v>
      </c>
      <c r="J8" s="100" t="inlineStr">
        <is>
          <t>兴业银锡</t>
        </is>
      </c>
      <c r="K8" s="90" t="inlineStr">
        <is>
          <t>中国</t>
        </is>
      </c>
      <c r="L8" s="90" t="n">
        <v>1472</v>
      </c>
      <c r="M8" s="90" t="n">
        <v>3042</v>
      </c>
      <c r="N8" s="90" t="n">
        <v>7769</v>
      </c>
      <c r="O8" s="91" t="n">
        <v>8902</v>
      </c>
      <c r="P8" s="139">
        <f>(O8-N8)/N8</f>
        <v/>
      </c>
      <c r="Q8" s="93" t="n">
        <v>1507</v>
      </c>
      <c r="R8" s="93" t="n">
        <v>2083</v>
      </c>
      <c r="S8" s="93" t="inlineStr">
        <is>
          <t>/</t>
        </is>
      </c>
      <c r="T8" s="90" t="n">
        <v>9500</v>
      </c>
      <c r="U8" s="103" t="inlineStr">
        <is>
          <t>2025Q1/Q2为推算值（H1累计3589.82披露，内部拆分无官方依据）。口径说明：年报「矿产锡」= 锡金属(合格锡精矿含锡) + 锡次金属(低品位锡精粉)，两者并列相加、非包含。本行2021-2023已修正为全口径(原为窄口径：2021锡金属1161/2022锡金属2758/2023锡精粉5811)；2024=8902、2025=6679、26Q1=777本为全口径不变。窄→全口径修正后2023→2024真实同比+14.6%(非+53%)。2025减产-25%：3月银漫停产+ Q4起选厂处理铅锌矿挤占铜锡矿+9#/10#低品位矿体入选(回收率~65%)</t>
        </is>
      </c>
      <c r="V8" t="n">
        <v>6679</v>
      </c>
      <c r="W8" s="99" t="n">
        <v>777</v>
      </c>
      <c r="X8" s="85" t="inlineStr">
        <is>
          <t>中国</t>
        </is>
      </c>
      <c r="Y8" s="85" t="n">
        <v>6548</v>
      </c>
      <c r="Z8" s="85" t="n">
        <v>5289</v>
      </c>
      <c r="AA8" s="89" t="n">
        <v>6500</v>
      </c>
      <c r="AB8" s="85" t="n">
        <v>6946</v>
      </c>
      <c r="AC8" s="138">
        <f>(AB8-AA8)/AA8</f>
        <v/>
      </c>
      <c r="AD8" s="87" t="inlineStr">
        <is>
          <t>/</t>
        </is>
      </c>
      <c r="AE8" s="87" t="inlineStr">
        <is>
          <t>/</t>
        </is>
      </c>
      <c r="AF8" s="85" t="n">
        <v>6500</v>
      </c>
      <c r="AG8" s="102" t="n"/>
    </row>
    <row r="9" ht="15" customHeight="1">
      <c r="A9" s="16" t="inlineStr">
        <is>
          <t>2024Q2</t>
        </is>
      </c>
      <c r="E9" s="16" t="n">
        <v>4027</v>
      </c>
      <c r="F9" s="16" t="n">
        <v>2506</v>
      </c>
      <c r="G9" s="16">
        <f>9675-G8</f>
        <v/>
      </c>
      <c r="J9" s="100" t="inlineStr">
        <is>
          <t>Andrada Mining</t>
        </is>
      </c>
      <c r="K9" s="90" t="inlineStr">
        <is>
          <t>纳米比亚</t>
        </is>
      </c>
      <c r="L9" s="90" t="inlineStr">
        <is>
          <t>-</t>
        </is>
      </c>
      <c r="M9" s="90" t="inlineStr">
        <is>
          <t>-</t>
        </is>
      </c>
      <c r="N9" s="90" t="inlineStr">
        <is>
          <t>-</t>
        </is>
      </c>
      <c r="O9" s="91" t="inlineStr">
        <is>
          <t>-</t>
        </is>
      </c>
      <c r="P9" s="139" t="inlineStr">
        <is>
          <t>-</t>
        </is>
      </c>
      <c r="Q9" s="93" t="inlineStr">
        <is>
          <t>-</t>
        </is>
      </c>
      <c r="R9" s="93" t="inlineStr">
        <is>
          <t>-</t>
        </is>
      </c>
      <c r="S9" s="93" t="inlineStr">
        <is>
          <t>/</t>
        </is>
      </c>
      <c r="T9" s="90" t="inlineStr">
        <is>
          <t>-</t>
        </is>
      </c>
      <c r="U9" s="103" t="inlineStr">
        <is>
          <t>Uis矿：按季度披露锡精矿产量/含锡量及成本（LSE AIM运营报告）；2026-08-18新增骨架行，数据待回填</t>
        </is>
      </c>
      <c r="V9" t="inlineStr">
        <is>
          <t>-</t>
        </is>
      </c>
      <c r="W9" s="100" t="inlineStr">
        <is>
          <t>兴业银锡</t>
        </is>
      </c>
      <c r="X9" s="90" t="inlineStr">
        <is>
          <t>中国</t>
        </is>
      </c>
      <c r="Y9" s="90" t="n">
        <v>1161</v>
      </c>
      <c r="Z9" s="90" t="n">
        <v>2758</v>
      </c>
      <c r="AA9" s="90" t="n">
        <v>5811</v>
      </c>
      <c r="AB9" s="91" t="n">
        <v>8901</v>
      </c>
      <c r="AC9" s="139">
        <f>(AB9-AA9)/AA9</f>
        <v/>
      </c>
      <c r="AD9" s="93" t="inlineStr">
        <is>
          <t>/</t>
        </is>
      </c>
      <c r="AE9" s="93" t="inlineStr">
        <is>
          <t>/</t>
        </is>
      </c>
      <c r="AF9" s="90" t="n">
        <v>9500</v>
      </c>
      <c r="AG9" s="103" t="inlineStr">
        <is>
          <t>新增项目推进</t>
        </is>
      </c>
    </row>
    <row r="10" ht="15" customHeight="1">
      <c r="J10" s="40" t="n"/>
      <c r="K10" s="40" t="n"/>
      <c r="L10" s="16" t="n"/>
      <c r="M10" s="16" t="n"/>
      <c r="N10" s="16" t="n"/>
      <c r="O10" s="140" t="n"/>
      <c r="P10" s="141" t="n"/>
      <c r="Q10" s="16" t="n"/>
      <c r="R10" s="32" t="n"/>
      <c r="S10" s="36" t="n"/>
    </row>
    <row r="11" ht="15" customHeight="1">
      <c r="J11" s="41" t="n"/>
      <c r="K11" s="40" t="n"/>
      <c r="L11" s="16" t="n"/>
      <c r="M11" s="16" t="n"/>
      <c r="N11" s="16" t="n"/>
      <c r="O11" s="140" t="n"/>
      <c r="P11" s="141" t="n"/>
      <c r="Q11" s="16" t="n"/>
      <c r="R11" s="32" t="n"/>
      <c r="S11" s="36" t="n"/>
    </row>
    <row r="12" ht="15" customHeight="1">
      <c r="J12" s="40" t="n"/>
      <c r="K12" s="40" t="n"/>
      <c r="L12" s="37" t="n"/>
      <c r="M12" s="37" t="n"/>
      <c r="N12" s="16" t="n"/>
      <c r="O12" s="140" t="n"/>
      <c r="P12" s="141" t="n"/>
      <c r="Q12" s="16" t="n"/>
      <c r="R12" s="32" t="n"/>
      <c r="S12" s="38" t="n"/>
    </row>
    <row r="13" ht="15" customHeight="1">
      <c r="J13" s="40" t="n"/>
      <c r="K13" s="40" t="n"/>
      <c r="L13" s="16" t="n"/>
      <c r="M13" s="16" t="n"/>
      <c r="N13" s="16" t="n"/>
      <c r="O13" s="140" t="n"/>
      <c r="P13" s="141" t="n"/>
      <c r="Q13" s="16" t="n"/>
      <c r="R13" s="32" t="n"/>
      <c r="S13" s="38" t="n"/>
    </row>
    <row r="14" ht="15" customHeight="1">
      <c r="I14" t="inlineStr">
        <is>
          <t>锭</t>
        </is>
      </c>
      <c r="J14" s="33" t="inlineStr">
        <is>
          <t>公司</t>
        </is>
      </c>
      <c r="K14" s="34" t="inlineStr">
        <is>
          <t>国家</t>
        </is>
      </c>
      <c r="L14" s="33" t="n">
        <v>2021</v>
      </c>
      <c r="M14" s="33" t="n">
        <v>2022</v>
      </c>
      <c r="N14" s="33" t="n">
        <v>2023</v>
      </c>
      <c r="O14" s="33" t="n">
        <v>2024</v>
      </c>
      <c r="P14" s="142" t="inlineStr">
        <is>
          <t>Yoy</t>
        </is>
      </c>
      <c r="Q14" s="33" t="inlineStr">
        <is>
          <t>25指引</t>
        </is>
      </c>
      <c r="R14" s="33" t="inlineStr">
        <is>
          <t>增产/减产原因</t>
        </is>
      </c>
      <c r="S14" s="33" t="inlineStr">
        <is>
          <t>增产/减产原因</t>
        </is>
      </c>
      <c r="T14" t="inlineStr">
        <is>
          <t>2025全年</t>
        </is>
      </c>
      <c r="U14" t="inlineStr">
        <is>
          <t>2026Q1</t>
        </is>
      </c>
    </row>
    <row r="15" ht="15" customHeight="1">
      <c r="E15" s="26" t="n"/>
      <c r="F15" s="25" t="n"/>
      <c r="G15" s="25" t="n"/>
      <c r="H15" s="25" t="n"/>
      <c r="J15" s="39" t="inlineStr">
        <is>
          <t>云南锡业</t>
        </is>
      </c>
      <c r="K15" s="40" t="inlineStr">
        <is>
          <t>中国</t>
        </is>
      </c>
      <c r="L15" s="32" t="n">
        <v>77322</v>
      </c>
      <c r="M15" s="32" t="n">
        <v>72685</v>
      </c>
      <c r="N15" s="32" t="n">
        <v>76919</v>
      </c>
      <c r="O15" s="25">
        <f>78454+5024</f>
        <v/>
      </c>
      <c r="P15" s="138">
        <f>(O15-N15)/N15</f>
        <v/>
      </c>
      <c r="Q15" s="32" t="n">
        <v>90000</v>
      </c>
      <c r="R15" s="32" t="n"/>
      <c r="S15" s="32" t="n"/>
      <c r="T15" t="n">
        <v>91200</v>
      </c>
      <c r="U15" t="n">
        <v>25900</v>
      </c>
    </row>
    <row r="16" ht="15" customHeight="1">
      <c r="D16" s="27" t="n"/>
      <c r="E16" s="28" t="n"/>
      <c r="F16" s="28" t="n"/>
      <c r="G16" s="28" t="n"/>
      <c r="H16" s="28" t="n"/>
      <c r="J16" s="40" t="inlineStr">
        <is>
          <t>PT Timah</t>
        </is>
      </c>
      <c r="K16" s="40" t="inlineStr">
        <is>
          <t>印尼</t>
        </is>
      </c>
      <c r="L16" s="32" t="n">
        <v>26465</v>
      </c>
      <c r="M16" s="32" t="n">
        <v>19825</v>
      </c>
      <c r="N16" s="32" t="n">
        <v>15340</v>
      </c>
      <c r="O16" s="32" t="n">
        <v>18915</v>
      </c>
      <c r="P16" s="141" t="n"/>
      <c r="Q16" s="32" t="inlineStr">
        <is>
          <t>2025目标精炼锡21,545吨(实际17,815，达成83%)</t>
        </is>
      </c>
      <c r="R16" s="36" t="inlineStr">
        <is>
          <t>非法采矿(沿海PIP及陆上)侵蚀原料+新矿区社区抵制+天气；26Q1精炼5,630吨(+82%):KIP/PIP作业单位增加、KK Singkep 1挖泥船恢复、Satgas打击非法采矿支持</t>
        </is>
      </c>
      <c r="S16" s="36" t="inlineStr">
        <is>
          <t>非法采矿(沿海PIP及陆上)侵蚀原料+新矿区社区抵制+天气；26Q1精炼5,630吨(+82%):KIP/PIP作业单位增加、KK Singkep 1挖泥船恢复、Satgas打击非法采矿支持</t>
        </is>
      </c>
      <c r="T16" t="n">
        <v>17815</v>
      </c>
      <c r="U16" t="n">
        <v>5630</v>
      </c>
    </row>
    <row r="17" ht="15" customHeight="1">
      <c r="D17" s="27" t="n"/>
      <c r="E17" s="28" t="n"/>
      <c r="F17" s="28" t="n"/>
      <c r="G17" s="28" t="n"/>
      <c r="H17" s="28" t="n"/>
      <c r="J17" s="40" t="inlineStr">
        <is>
          <t>明苏尔</t>
        </is>
      </c>
      <c r="K17" s="40" t="inlineStr">
        <is>
          <t>秘鲁</t>
        </is>
      </c>
      <c r="L17" s="32" t="n">
        <v>61</v>
      </c>
      <c r="M17" s="32" t="n">
        <v>55</v>
      </c>
      <c r="N17" s="32" t="n"/>
      <c r="O17" t="n">
        <v>30926</v>
      </c>
      <c r="P17" s="141" t="n"/>
      <c r="Q17" s="32" t="inlineStr">
        <is>
          <t>无定量指引</t>
        </is>
      </c>
      <c r="R17" s="36" t="inlineStr">
        <is>
          <t>2025精炼锡32,981吨(+7%，15年最高):精矿处理量+8%、回收率+1%；San Rafael/B2品位下降部分抵消</t>
        </is>
      </c>
      <c r="S17" s="36" t="inlineStr">
        <is>
          <t>2025精炼锡32,981吨(+7%，15年最高):精矿处理量+8%、回收率+1%；San Rafael/B2品位下降部分抵消</t>
        </is>
      </c>
      <c r="T17" t="n">
        <v>32981</v>
      </c>
      <c r="U17" t="n">
        <v>8314</v>
      </c>
    </row>
    <row r="18" ht="15" customHeight="1">
      <c r="D18" s="27" t="n"/>
      <c r="E18" s="28" t="n"/>
      <c r="F18" s="28" t="n"/>
      <c r="G18" s="28" t="n"/>
      <c r="H18" s="29" t="n"/>
      <c r="J18" s="40" t="inlineStr">
        <is>
          <t>华锡有色</t>
        </is>
      </c>
      <c r="K18" s="40" t="inlineStr">
        <is>
          <t>中国</t>
        </is>
      </c>
      <c r="L18" s="32" t="n">
        <v>6548</v>
      </c>
      <c r="M18" s="32" t="n">
        <v>7136</v>
      </c>
      <c r="N18" s="31" t="n">
        <v>7196</v>
      </c>
      <c r="O18" s="32" t="n">
        <v>11301</v>
      </c>
      <c r="P18" s="141" t="n"/>
      <c r="Q18" s="32" t="n"/>
      <c r="R18" s="36" t="inlineStr">
        <is>
          <t>锡锭=委托加工(自产精矿+外购原料):2025外购锡原料大幅增加(采购成本+80%),产量11,526吨(+2%)但毛利率-6.77pct;26Q1外购收缩致锡锭-37%</t>
        </is>
      </c>
      <c r="S18" s="36" t="inlineStr">
        <is>
          <t>锡锭=委托加工(自产精矿+外购原料):2025外购锡原料大幅增加(采购成本+80%),产量11,526吨(+2%)但毛利率-6.77pct;26Q1外购收缩致锡锭-37%</t>
        </is>
      </c>
      <c r="T18" t="n">
        <v>11526</v>
      </c>
      <c r="U18" t="n">
        <v>1829</v>
      </c>
    </row>
    <row r="19" ht="15" customHeight="1">
      <c r="D19" s="27" t="n"/>
      <c r="E19" s="28" t="n"/>
      <c r="F19" s="28" t="n"/>
      <c r="G19" s="30" t="n"/>
      <c r="H19" s="30" t="n"/>
      <c r="J19" s="41" t="inlineStr">
        <is>
          <t>MSC</t>
        </is>
      </c>
      <c r="K19" s="40" t="inlineStr">
        <is>
          <t>马来西亚</t>
        </is>
      </c>
      <c r="L19" s="32" t="n"/>
      <c r="M19" s="32" t="n"/>
      <c r="N19" s="32" t="n"/>
      <c r="O19" s="32" t="n"/>
      <c r="P19" s="141" t="n"/>
      <c r="Q19" s="32" t="n"/>
      <c r="R19" s="36" t="inlineStr">
        <is>
          <t>2025产量14,224吨(-12.7%):精矿进料-21%(中国冶炼厂抢购原料分流)+Q2 Putra Heights天然气管道火灾致Pulau Indah停产约3个月+Butterworth百年老厂关闭,全年利用率约50%</t>
        </is>
      </c>
      <c r="S19" s="36" t="inlineStr">
        <is>
          <t>2025产量14,224吨(-12.7%):精矿进料-21%(中国冶炼厂抢购原料分流)+Q2 Putra Heights天然气管道火灾致Pulau Indah停产约3个月+Butterworth百年老厂关闭,全年利用率约50%</t>
        </is>
      </c>
      <c r="T19" t="n">
        <v>14224</v>
      </c>
      <c r="U19" t="inlineStr">
        <is>
          <t>n.a.</t>
        </is>
      </c>
    </row>
    <row r="20">
      <c r="J20" s="1" t="inlineStr">
        <is>
          <t>Pisco（明苏尔）</t>
        </is>
      </c>
      <c r="O20" s="16" t="n"/>
      <c r="Q20" s="32" t="n"/>
      <c r="R20" s="36" t="inlineStr">
        <is>
          <t>并入明苏尔行(精炼锡季度数据见「季度补充」表);2025 Pisco精炼32,981吨</t>
        </is>
      </c>
      <c r="S20" t="inlineStr">
        <is>
          <t>并入明苏尔行(精炼锡季度数据见「季度补充」表);2025 Pisco精炼32,981吨</t>
        </is>
      </c>
    </row>
    <row r="21">
      <c r="O21" s="32" t="n"/>
      <c r="P21" s="140" t="n"/>
      <c r="Q21" s="32" t="inlineStr">
        <is>
          <t>565-630</t>
        </is>
      </c>
      <c r="R21" s="36" t="n"/>
    </row>
    <row r="23">
      <c r="J23" s="66" t="n"/>
      <c r="K23" s="61" t="inlineStr">
        <is>
          <t>锡矿</t>
        </is>
      </c>
      <c r="L23" s="61" t="inlineStr">
        <is>
          <t>Yoy</t>
        </is>
      </c>
      <c r="M23" s="61" t="inlineStr">
        <is>
          <t>锡锭</t>
        </is>
      </c>
      <c r="N23" s="61" t="inlineStr">
        <is>
          <t>Yoy</t>
        </is>
      </c>
      <c r="O23" s="61" t="inlineStr">
        <is>
          <t>自给率</t>
        </is>
      </c>
    </row>
    <row r="24">
      <c r="J24" s="60" t="n">
        <v>2020</v>
      </c>
      <c r="K24" s="62" t="n">
        <v>43167</v>
      </c>
      <c r="L24" s="63" t="n">
        <v>-0.04</v>
      </c>
      <c r="M24" s="62" t="n">
        <v>67687</v>
      </c>
      <c r="N24" s="63" t="n">
        <v>0.02</v>
      </c>
      <c r="O24" s="143">
        <f>K24/M24</f>
        <v/>
      </c>
    </row>
    <row r="25">
      <c r="J25" s="60" t="n">
        <v>2021</v>
      </c>
      <c r="K25" s="62" t="n">
        <v>35000</v>
      </c>
      <c r="L25" s="65">
        <f>(K25-K24)/K24</f>
        <v/>
      </c>
      <c r="M25" s="62" t="n">
        <v>77322</v>
      </c>
      <c r="N25" s="65">
        <f>(M25-M24)/M24</f>
        <v/>
      </c>
      <c r="O25" s="143">
        <f>K25/M25</f>
        <v/>
      </c>
    </row>
    <row r="26">
      <c r="J26" s="60" t="n">
        <v>2022</v>
      </c>
      <c r="K26" s="62" t="n">
        <v>34383</v>
      </c>
      <c r="L26" s="65">
        <f>(K26-K25)/K25</f>
        <v/>
      </c>
      <c r="M26" s="62" t="n">
        <v>72685</v>
      </c>
      <c r="N26" s="65">
        <f>(M26-M25)/M25</f>
        <v/>
      </c>
      <c r="O26" s="143">
        <f>K26/M26</f>
        <v/>
      </c>
    </row>
    <row r="27">
      <c r="J27" s="60" t="n">
        <v>2023</v>
      </c>
      <c r="K27" s="62" t="n">
        <v>31958</v>
      </c>
      <c r="L27" s="65">
        <f>(K27-K26)/K26</f>
        <v/>
      </c>
      <c r="M27" s="62" t="n">
        <v>76919</v>
      </c>
      <c r="N27" s="65">
        <f>(M27-M26)/M26</f>
        <v/>
      </c>
      <c r="O27" s="143">
        <f>K27/M27</f>
        <v/>
      </c>
    </row>
    <row r="28">
      <c r="J28" s="60" t="n">
        <v>2024</v>
      </c>
      <c r="K28" s="62" t="n">
        <v>31173</v>
      </c>
      <c r="L28" s="65">
        <f>(K28-K27)/K27</f>
        <v/>
      </c>
      <c r="M28" s="62" t="n">
        <v>83478</v>
      </c>
      <c r="N28" s="65">
        <f>(M28-M27)/M27</f>
        <v/>
      </c>
      <c r="O28" s="143">
        <f>K28/M28</f>
        <v/>
      </c>
    </row>
    <row r="29">
      <c r="J29" s="60" t="n">
        <v>2025</v>
      </c>
      <c r="K29" s="62" t="n">
        <v>31788</v>
      </c>
      <c r="L29" s="65">
        <f>(K29-K28)/K28</f>
        <v/>
      </c>
      <c r="M29" s="62" t="n">
        <v>91200</v>
      </c>
      <c r="N29" s="65">
        <f>(M29-M28)/M28</f>
        <v/>
      </c>
      <c r="O29" s="143">
        <f>K29/M29</f>
        <v/>
      </c>
    </row>
    <row r="30">
      <c r="J30" s="60" t="n">
        <v>2026</v>
      </c>
      <c r="K30" s="62" t="n">
        <v>32000</v>
      </c>
      <c r="L30" s="65">
        <f>(K30-K29)/K29</f>
        <v/>
      </c>
      <c r="M30" s="62" t="n">
        <v>90000</v>
      </c>
      <c r="N30" s="65">
        <f>(M30-M29)/M29</f>
        <v/>
      </c>
      <c r="O30" s="143">
        <f>K30/M30</f>
        <v/>
      </c>
    </row>
  </sheetData>
  <conditionalFormatting sqref="O9:O13">
    <cfRule type="dataBar" priority="4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E5:N29"/>
  <sheetViews>
    <sheetView workbookViewId="0">
      <selection activeCell="N25" sqref="E5:N25"/>
    </sheetView>
  </sheetViews>
  <sheetFormatPr baseColWidth="8" defaultRowHeight="13.8"/>
  <cols>
    <col width="8.88671875" customWidth="1" min="5" max="5"/>
    <col hidden="1" width="8.88671875" customWidth="1" min="6" max="7"/>
    <col width="8.88671875" customWidth="1" min="8" max="8"/>
    <col width="6.5546875" customWidth="1" min="9" max="9"/>
    <col width="8.88671875" customWidth="1" min="10" max="10"/>
    <col hidden="1" width="6.5546875" customWidth="1" min="11" max="11"/>
    <col width="8.88671875" customWidth="1" min="12" max="13"/>
  </cols>
  <sheetData>
    <row r="5" ht="14.4" customHeight="1">
      <c r="E5" s="55" t="n"/>
      <c r="F5" s="56" t="inlineStr">
        <is>
          <t>C1 Cash Cost</t>
        </is>
      </c>
      <c r="G5" s="56" t="inlineStr">
        <is>
          <t>AISC</t>
        </is>
      </c>
      <c r="H5" s="56" t="inlineStr">
        <is>
          <t>产量</t>
        </is>
      </c>
      <c r="I5" s="57" t="inlineStr">
        <is>
          <t>Total</t>
        </is>
      </c>
      <c r="J5" s="56" t="inlineStr">
        <is>
          <t>Yoy</t>
        </is>
      </c>
      <c r="K5" s="56" t="inlineStr">
        <is>
          <t>Yot</t>
        </is>
      </c>
      <c r="L5" s="58" t="inlineStr">
        <is>
          <t>销量</t>
        </is>
      </c>
      <c r="M5" s="58" t="inlineStr">
        <is>
          <t>Total</t>
        </is>
      </c>
      <c r="N5" s="59" t="inlineStr">
        <is>
          <t>Yoy</t>
        </is>
      </c>
    </row>
    <row r="6" hidden="1">
      <c r="E6" s="50" t="inlineStr">
        <is>
          <t>2021Q1</t>
        </is>
      </c>
      <c r="F6" s="16" t="n"/>
      <c r="G6" s="16" t="n"/>
      <c r="H6" s="16" t="n"/>
      <c r="I6" s="16" t="n"/>
      <c r="J6" s="16" t="n"/>
      <c r="K6" s="16" t="n"/>
      <c r="L6" s="16" t="n"/>
      <c r="M6" s="16" t="n"/>
      <c r="N6" s="52" t="n"/>
    </row>
    <row r="7" hidden="1">
      <c r="E7" s="50" t="inlineStr">
        <is>
          <t>2021Q2</t>
        </is>
      </c>
      <c r="F7" s="16" t="n"/>
      <c r="G7" s="16" t="n"/>
      <c r="H7" s="16" t="n"/>
      <c r="I7" s="43" t="n"/>
      <c r="J7" s="16" t="n"/>
      <c r="K7" s="16" t="n"/>
      <c r="L7" s="16" t="n"/>
      <c r="M7" s="16" t="n"/>
      <c r="N7" s="52" t="n"/>
    </row>
    <row r="8" hidden="1">
      <c r="E8" s="50" t="inlineStr">
        <is>
          <t>2021Q3</t>
        </is>
      </c>
      <c r="F8" s="16" t="n"/>
      <c r="G8" s="16" t="n"/>
      <c r="H8" s="16" t="n"/>
      <c r="I8" s="43" t="n"/>
      <c r="J8" s="16" t="n"/>
      <c r="K8" s="16" t="n"/>
      <c r="L8" s="16" t="n"/>
      <c r="M8" s="16" t="n"/>
      <c r="N8" s="52" t="n"/>
    </row>
    <row r="9" hidden="1">
      <c r="E9" s="50" t="inlineStr">
        <is>
          <t>2021Q4</t>
        </is>
      </c>
      <c r="F9" s="16" t="n"/>
      <c r="G9" s="16" t="n">
        <v>15117</v>
      </c>
      <c r="H9" s="16" t="n">
        <v>3114</v>
      </c>
      <c r="I9" s="43">
        <f>I8+H12</f>
        <v/>
      </c>
      <c r="J9" s="16" t="n"/>
      <c r="K9" s="16" t="n"/>
      <c r="L9" s="16" t="n">
        <v>3056</v>
      </c>
      <c r="M9" s="16" t="n"/>
      <c r="N9" s="52" t="n"/>
    </row>
    <row r="10" hidden="1">
      <c r="E10" s="50" t="inlineStr">
        <is>
          <t>2022Q1</t>
        </is>
      </c>
      <c r="F10" s="16" t="n"/>
      <c r="G10" s="16" t="n">
        <v>15782</v>
      </c>
      <c r="H10" s="16" t="n">
        <v>3061</v>
      </c>
      <c r="I10" s="16" t="n">
        <v>3061</v>
      </c>
      <c r="J10" s="16" t="n"/>
      <c r="K10" s="16" t="n"/>
      <c r="L10" s="16" t="n">
        <v>3336</v>
      </c>
      <c r="M10" s="16" t="n">
        <v>3336</v>
      </c>
      <c r="N10" s="52" t="n"/>
    </row>
    <row r="11" hidden="1">
      <c r="E11" s="50" t="inlineStr">
        <is>
          <t>2022Q2</t>
        </is>
      </c>
      <c r="F11" s="16" t="n"/>
      <c r="G11" s="16" t="n">
        <v>14677</v>
      </c>
      <c r="H11" s="16" t="n">
        <v>3180</v>
      </c>
      <c r="I11" s="43">
        <f>I10+H11</f>
        <v/>
      </c>
      <c r="J11" s="16" t="n"/>
      <c r="K11" s="16" t="n"/>
      <c r="L11" s="16" t="n">
        <v>3229</v>
      </c>
      <c r="M11" s="43">
        <f>M10+L11</f>
        <v/>
      </c>
      <c r="N11" s="52" t="n"/>
    </row>
    <row r="12" hidden="1">
      <c r="E12" s="50" t="inlineStr">
        <is>
          <t>2022Q3</t>
        </is>
      </c>
      <c r="F12" s="16" t="n"/>
      <c r="G12" s="16" t="n"/>
      <c r="H12" s="16" t="n">
        <v>3012</v>
      </c>
      <c r="I12" s="43">
        <f>I11+H12</f>
        <v/>
      </c>
      <c r="J12" s="16" t="n"/>
      <c r="K12" s="16" t="n"/>
      <c r="L12" s="16" t="n">
        <v>3118</v>
      </c>
      <c r="M12" s="43">
        <f>M11+L12</f>
        <v/>
      </c>
      <c r="N12" s="52" t="n"/>
    </row>
    <row r="13" hidden="1">
      <c r="E13" s="50" t="inlineStr">
        <is>
          <t>2022Q4</t>
        </is>
      </c>
      <c r="F13" s="16" t="n"/>
      <c r="G13" s="16" t="n">
        <v>13420</v>
      </c>
      <c r="H13" s="16" t="n">
        <v>3113</v>
      </c>
      <c r="I13" s="43">
        <f>I12+H13</f>
        <v/>
      </c>
      <c r="J13" s="22">
        <f>(H13-H9)/H9</f>
        <v/>
      </c>
      <c r="K13" s="16" t="n"/>
      <c r="L13" s="16" t="n">
        <v>3119</v>
      </c>
      <c r="M13" s="43">
        <f>M12+L13</f>
        <v/>
      </c>
      <c r="N13" s="53">
        <f>(L13-L9)/L9</f>
        <v/>
      </c>
    </row>
    <row r="14" ht="13.2" customHeight="1">
      <c r="E14" s="50" t="inlineStr">
        <is>
          <t>2023Q1</t>
        </is>
      </c>
      <c r="F14" s="16" t="n"/>
      <c r="G14" s="16" t="n">
        <v>13900</v>
      </c>
      <c r="H14" s="16" t="n">
        <v>3187</v>
      </c>
      <c r="I14" s="16" t="n">
        <v>3187</v>
      </c>
      <c r="J14" s="22">
        <f>(I14-I10)/I10</f>
        <v/>
      </c>
      <c r="K14" s="16" t="n"/>
      <c r="L14" s="16" t="n">
        <v>3161</v>
      </c>
      <c r="M14" s="16" t="n">
        <v>3161</v>
      </c>
      <c r="N14" s="53">
        <f>(M14-M10)/M10</f>
        <v/>
      </c>
    </row>
    <row r="15">
      <c r="E15" s="50" t="inlineStr">
        <is>
          <t>2023Q2</t>
        </is>
      </c>
      <c r="F15" s="16" t="n">
        <v>13148</v>
      </c>
      <c r="G15" s="16" t="n">
        <v>13987</v>
      </c>
      <c r="H15" s="16" t="n">
        <v>3151</v>
      </c>
      <c r="I15" s="43">
        <f>I14+H15</f>
        <v/>
      </c>
      <c r="J15" s="22">
        <f>(I15-I11)/I11</f>
        <v/>
      </c>
      <c r="K15" s="16" t="n"/>
      <c r="L15" s="16" t="n">
        <v>3068</v>
      </c>
      <c r="M15" s="43">
        <f>M14+L15</f>
        <v/>
      </c>
      <c r="N15" s="53">
        <f>(M15-M11)/M11</f>
        <v/>
      </c>
    </row>
    <row r="16">
      <c r="E16" s="50" t="inlineStr">
        <is>
          <t>2023Q3</t>
        </is>
      </c>
      <c r="F16" s="16" t="n">
        <v>13644</v>
      </c>
      <c r="G16" s="16" t="n">
        <v>14812</v>
      </c>
      <c r="H16" s="16" t="n">
        <v>3104</v>
      </c>
      <c r="I16" s="43">
        <f>I15+H16</f>
        <v/>
      </c>
      <c r="J16" s="22">
        <f>(I16-I12)/I12</f>
        <v/>
      </c>
      <c r="K16" s="16" t="n"/>
      <c r="L16" s="16" t="n">
        <v>3110</v>
      </c>
      <c r="M16" s="43">
        <f>M15+L16</f>
        <v/>
      </c>
      <c r="N16" s="53">
        <f>(M16-M12)/M12</f>
        <v/>
      </c>
    </row>
    <row r="17">
      <c r="E17" s="50" t="inlineStr">
        <is>
          <t>2023Q4</t>
        </is>
      </c>
      <c r="F17" s="16" t="n"/>
      <c r="G17" s="16" t="n">
        <v>14638</v>
      </c>
      <c r="H17" s="16" t="n">
        <v>3126</v>
      </c>
      <c r="I17" s="43">
        <f>I16+H17</f>
        <v/>
      </c>
      <c r="J17" s="22">
        <f>(I17-I13)/I13</f>
        <v/>
      </c>
      <c r="K17" s="16" t="n">
        <v>12568</v>
      </c>
      <c r="L17" s="16" t="n">
        <v>2046</v>
      </c>
      <c r="M17" s="43">
        <f>M16+L17</f>
        <v/>
      </c>
      <c r="N17" s="53">
        <f>(M17-M13)/M13</f>
        <v/>
      </c>
    </row>
    <row r="18">
      <c r="E18" s="50" t="inlineStr">
        <is>
          <t>2024Q1</t>
        </is>
      </c>
      <c r="F18" s="16" t="n">
        <v>13745</v>
      </c>
      <c r="G18" s="16" t="n">
        <v>14785</v>
      </c>
      <c r="H18" s="16" t="n">
        <v>3142</v>
      </c>
      <c r="I18" s="16" t="n">
        <v>3142</v>
      </c>
      <c r="J18" s="22">
        <f>(I18-I14)/I14</f>
        <v/>
      </c>
      <c r="K18" s="16" t="n"/>
      <c r="L18" s="16" t="n">
        <v>4126</v>
      </c>
      <c r="M18" s="16" t="n">
        <v>3142</v>
      </c>
      <c r="N18" s="53">
        <f>(M18-M14)/M14</f>
        <v/>
      </c>
    </row>
    <row r="19">
      <c r="E19" s="50" t="inlineStr">
        <is>
          <t>2024Q2</t>
        </is>
      </c>
      <c r="F19" s="16" t="n"/>
      <c r="G19" s="16" t="n"/>
      <c r="H19" s="16" t="n">
        <v>4027</v>
      </c>
      <c r="I19" s="43">
        <f>I18+H19</f>
        <v/>
      </c>
      <c r="J19" s="22">
        <f>(I19-I15)/I15</f>
        <v/>
      </c>
      <c r="K19" s="16" t="n"/>
      <c r="L19" s="16" t="n">
        <v>3245</v>
      </c>
      <c r="M19" s="43">
        <f>M18+L19</f>
        <v/>
      </c>
      <c r="N19" s="53">
        <f>(M19-M15)/M15</f>
        <v/>
      </c>
    </row>
    <row r="20">
      <c r="E20" s="50" t="inlineStr">
        <is>
          <t>2024Q3</t>
        </is>
      </c>
      <c r="F20" s="16" t="n"/>
      <c r="G20" s="16" t="n"/>
      <c r="H20" s="16" t="n">
        <v>4917</v>
      </c>
      <c r="I20" s="43">
        <f>I19+H20</f>
        <v/>
      </c>
      <c r="J20" s="22">
        <f>(I20-I16)/I16</f>
        <v/>
      </c>
      <c r="K20" s="16" t="n"/>
      <c r="L20" s="16" t="n">
        <v>5552</v>
      </c>
      <c r="M20" s="43">
        <f>M19+L20</f>
        <v/>
      </c>
      <c r="N20" s="53">
        <f>(M20-M16)/M16</f>
        <v/>
      </c>
    </row>
    <row r="21">
      <c r="E21" s="50" t="inlineStr">
        <is>
          <t>2024Q4</t>
        </is>
      </c>
      <c r="F21" s="1" t="n"/>
      <c r="G21" s="1" t="n"/>
      <c r="H21" s="67" t="n">
        <v>5237</v>
      </c>
      <c r="I21" s="43">
        <f>I20+H21</f>
        <v/>
      </c>
      <c r="J21" s="22">
        <f>(I21-I17)/I17</f>
        <v/>
      </c>
      <c r="K21" s="67" t="n"/>
      <c r="L21" s="67" t="n">
        <v>4942</v>
      </c>
      <c r="M21" s="43">
        <f>M20+L21</f>
        <v/>
      </c>
      <c r="N21" s="53">
        <f>(M21-M17)/M17</f>
        <v/>
      </c>
    </row>
    <row r="22">
      <c r="E22" s="50" t="inlineStr">
        <is>
          <t>2025Q1</t>
        </is>
      </c>
      <c r="F22" s="1" t="n"/>
      <c r="G22" s="1" t="n"/>
      <c r="H22" s="37" t="n">
        <v>4270</v>
      </c>
      <c r="I22" s="37" t="n">
        <v>4270</v>
      </c>
      <c r="J22" s="22">
        <f>(I22-I18)/I18</f>
        <v/>
      </c>
      <c r="K22" s="37" t="n"/>
      <c r="L22" s="37" t="n">
        <v>3863</v>
      </c>
      <c r="M22" s="37" t="n">
        <v>4270</v>
      </c>
      <c r="N22" s="53">
        <f>(M22-M18)/M18</f>
        <v/>
      </c>
    </row>
    <row r="23">
      <c r="E23" s="50" t="inlineStr">
        <is>
          <t>2025Q2</t>
        </is>
      </c>
      <c r="F23" s="1" t="n"/>
      <c r="G23" s="1" t="n"/>
      <c r="H23" s="37" t="n">
        <v>4106</v>
      </c>
      <c r="I23" s="43">
        <f>I22+H23</f>
        <v/>
      </c>
      <c r="J23" s="22">
        <f>(I23-I19)/I19</f>
        <v/>
      </c>
      <c r="K23" s="37" t="n"/>
      <c r="L23" s="37" t="n">
        <v>4587</v>
      </c>
      <c r="M23" s="43">
        <f>M22+L23</f>
        <v/>
      </c>
      <c r="N23" s="53">
        <f>(M23-M19)/M19</f>
        <v/>
      </c>
    </row>
    <row r="24">
      <c r="E24" s="50" t="inlineStr">
        <is>
          <t>2025Q3</t>
        </is>
      </c>
      <c r="F24" s="1" t="n"/>
      <c r="G24" s="1" t="n"/>
      <c r="H24" s="37" t="n">
        <v>5190</v>
      </c>
      <c r="I24" s="43">
        <f>I23+H24</f>
        <v/>
      </c>
      <c r="J24" s="22">
        <f>(I24-I20)/I20</f>
        <v/>
      </c>
      <c r="K24" s="37" t="n"/>
      <c r="L24" s="37" t="n">
        <v>5143</v>
      </c>
      <c r="M24" s="43">
        <f>M23+L24</f>
        <v/>
      </c>
      <c r="N24" s="53">
        <f>(M24-M20)/M20</f>
        <v/>
      </c>
    </row>
    <row r="25">
      <c r="E25" s="51" t="inlineStr">
        <is>
          <t>2025Q4</t>
        </is>
      </c>
      <c r="F25" s="3" t="n"/>
      <c r="G25" s="3" t="n"/>
      <c r="H25" s="68" t="n">
        <v>5008</v>
      </c>
      <c r="I25" s="122">
        <f>I24+H25</f>
        <v/>
      </c>
      <c r="J25" s="49">
        <f>(I25-I21)/I21</f>
        <v/>
      </c>
      <c r="K25" s="68" t="n"/>
      <c r="L25" s="68" t="n">
        <v>5045</v>
      </c>
      <c r="M25" s="122">
        <f>M24+L25</f>
        <v/>
      </c>
      <c r="N25" s="54">
        <f>(M25-M21)/M21</f>
        <v/>
      </c>
    </row>
    <row r="27">
      <c r="E27" s="51" t="inlineStr">
        <is>
          <t>2026Q1</t>
        </is>
      </c>
      <c r="F27" s="3" t="n"/>
      <c r="G27" s="3" t="n">
        <v>17968</v>
      </c>
      <c r="H27" s="68" t="n">
        <v>5026</v>
      </c>
      <c r="I27" s="122" t="n">
        <v>5026</v>
      </c>
      <c r="J27" s="49">
        <f>(I27-I22)/I22</f>
        <v/>
      </c>
      <c r="K27" s="68" t="n"/>
      <c r="L27" s="68" t="n">
        <v>5016</v>
      </c>
      <c r="M27" s="122" t="n">
        <v>5016</v>
      </c>
      <c r="N27" s="54">
        <f>(M27-M22)/M22</f>
        <v/>
      </c>
    </row>
    <row r="28">
      <c r="E28" s="51" t="inlineStr">
        <is>
          <t>2026Q2</t>
        </is>
      </c>
      <c r="F28" s="3" t="n"/>
      <c r="G28" s="3" t="n">
        <v>19043</v>
      </c>
      <c r="H28" s="68" t="n">
        <v>5013</v>
      </c>
      <c r="I28" s="122">
        <f>I27+H28</f>
        <v/>
      </c>
      <c r="J28" s="49">
        <f>(I28-I23)/I23</f>
        <v/>
      </c>
      <c r="K28" s="68" t="n"/>
      <c r="L28" s="68" t="n">
        <v>5014</v>
      </c>
      <c r="M28" s="122">
        <f>M27+L28</f>
        <v/>
      </c>
      <c r="N28" s="54">
        <f>(M28-M23)/M23</f>
        <v/>
      </c>
    </row>
    <row r="29">
      <c r="J29">
        <f>(8376-H25)/H25</f>
        <v/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C2:R42"/>
  <sheetViews>
    <sheetView tabSelected="1" workbookViewId="0">
      <selection activeCell="K21" sqref="K21"/>
    </sheetView>
  </sheetViews>
  <sheetFormatPr baseColWidth="8" defaultRowHeight="13.8"/>
  <cols>
    <col width="4.6640625" bestFit="1" customWidth="1" min="7" max="8"/>
    <col width="8" bestFit="1" customWidth="1" min="9" max="11"/>
    <col width="8.21875" bestFit="1" customWidth="1" min="12" max="12"/>
    <col width="26.33203125" bestFit="1" customWidth="1" min="13" max="13"/>
  </cols>
  <sheetData>
    <row r="2" ht="26.4" customHeight="1">
      <c r="G2" s="72" t="inlineStr">
        <is>
          <t>年份</t>
        </is>
      </c>
      <c r="H2" s="73" t="inlineStr">
        <is>
          <t>季度</t>
        </is>
      </c>
      <c r="I2" s="73" t="inlineStr">
        <is>
          <t>营业收入（亿元）</t>
        </is>
      </c>
      <c r="J2" s="73" t="inlineStr">
        <is>
          <t>同比变化</t>
        </is>
      </c>
      <c r="K2" s="73" t="inlineStr">
        <is>
          <t>环比变化</t>
        </is>
      </c>
      <c r="L2" s="104" t="inlineStr">
        <is>
          <t>同期锡价对比</t>
        </is>
      </c>
      <c r="M2" s="112" t="inlineStr">
        <is>
          <t>备注</t>
        </is>
      </c>
    </row>
    <row r="3">
      <c r="G3" s="82" t="n">
        <v>2022</v>
      </c>
      <c r="H3" s="80" t="inlineStr">
        <is>
          <t>全年</t>
        </is>
      </c>
      <c r="I3" s="80" t="n">
        <v>20.11</v>
      </c>
      <c r="J3" s="81" t="n">
        <v>0.6229</v>
      </c>
      <c r="K3" s="80" t="inlineStr">
        <is>
          <t>-</t>
        </is>
      </c>
      <c r="L3" s="110" t="inlineStr">
        <is>
          <t>27.8万</t>
        </is>
      </c>
      <c r="M3" s="106" t="inlineStr">
        <is>
          <t>光伏行业高景气助推焊带产能扩张</t>
        </is>
      </c>
    </row>
    <row r="4">
      <c r="G4" s="124" t="n">
        <v>2023</v>
      </c>
      <c r="H4" s="75" t="inlineStr">
        <is>
          <t>Q1</t>
        </is>
      </c>
      <c r="I4" s="75" t="n">
        <v>5.54</v>
      </c>
      <c r="J4" s="76" t="n">
        <v>0.187</v>
      </c>
      <c r="K4" s="75" t="inlineStr">
        <is>
          <t>-</t>
        </is>
      </c>
      <c r="L4" s="74" t="inlineStr">
        <is>
          <t>20.5万</t>
        </is>
      </c>
      <c r="M4" s="127" t="n"/>
    </row>
    <row r="5">
      <c r="G5" s="84" t="n"/>
      <c r="H5" s="77" t="inlineStr">
        <is>
          <t>全年</t>
        </is>
      </c>
      <c r="I5" s="77" t="n">
        <v>27.62</v>
      </c>
      <c r="J5" s="78" t="n">
        <v>0.3736</v>
      </c>
      <c r="K5" s="77" t="inlineStr">
        <is>
          <t>-</t>
        </is>
      </c>
      <c r="L5" s="74" t="inlineStr">
        <is>
          <t>21万</t>
        </is>
      </c>
      <c r="M5" s="107" t="inlineStr">
        <is>
          <t>新品SMBB焊带放量，延续增势</t>
        </is>
      </c>
    </row>
    <row r="6">
      <c r="G6" s="124" t="n">
        <v>2024</v>
      </c>
      <c r="H6" s="75" t="inlineStr">
        <is>
          <t>Q1</t>
        </is>
      </c>
      <c r="I6" s="75" t="n">
        <v>7</v>
      </c>
      <c r="J6" s="76" t="n">
        <v>0.2619</v>
      </c>
      <c r="K6" s="76" t="n">
        <v>-0.0228</v>
      </c>
      <c r="L6" s="74" t="inlineStr">
        <is>
          <t>22.8万</t>
        </is>
      </c>
      <c r="M6" s="126" t="inlineStr">
        <is>
          <t>原材料成本压力兼行业内卷加剧</t>
        </is>
      </c>
    </row>
    <row r="7">
      <c r="G7" s="125" t="n"/>
      <c r="H7" s="75" t="inlineStr">
        <is>
          <t>Q2</t>
        </is>
      </c>
      <c r="I7" s="75" t="inlineStr">
        <is>
          <t>-</t>
        </is>
      </c>
      <c r="J7" s="75" t="inlineStr">
        <is>
          <t>-</t>
        </is>
      </c>
      <c r="K7" s="75" t="inlineStr">
        <is>
          <t>-</t>
        </is>
      </c>
      <c r="L7" s="74" t="inlineStr">
        <is>
          <t>27.5万</t>
        </is>
      </c>
      <c r="M7" s="127" t="n"/>
    </row>
    <row r="8">
      <c r="G8" s="125" t="n"/>
      <c r="H8" s="75" t="inlineStr">
        <is>
          <t>Q3</t>
        </is>
      </c>
      <c r="I8" s="75" t="n">
        <v>7.94</v>
      </c>
      <c r="J8" s="76" t="n">
        <v>0.0524</v>
      </c>
      <c r="K8" s="76" t="n">
        <v>-0.1918</v>
      </c>
      <c r="L8" s="74" t="inlineStr">
        <is>
          <t>26万</t>
        </is>
      </c>
      <c r="M8" s="127" t="n"/>
    </row>
    <row r="9">
      <c r="G9" s="125" t="n"/>
      <c r="H9" s="75" t="inlineStr">
        <is>
          <t>Q4</t>
        </is>
      </c>
      <c r="I9" s="75" t="n">
        <v>7.99</v>
      </c>
      <c r="J9" s="76" t="n">
        <v>0.116</v>
      </c>
      <c r="K9" s="76" t="n">
        <v>0.0063</v>
      </c>
      <c r="L9" s="74" t="inlineStr">
        <is>
          <t>24万</t>
        </is>
      </c>
      <c r="M9" s="127" t="n"/>
    </row>
    <row r="10">
      <c r="G10" s="125" t="n"/>
      <c r="H10" s="74" t="inlineStr">
        <is>
          <t>全年</t>
        </is>
      </c>
      <c r="I10" s="74" t="n">
        <v>32.76</v>
      </c>
      <c r="J10" s="79" t="n">
        <v>0.1859</v>
      </c>
      <c r="K10" s="75" t="inlineStr">
        <is>
          <t>-</t>
        </is>
      </c>
      <c r="L10" s="74" t="inlineStr">
        <is>
          <t>24.8万</t>
        </is>
      </c>
      <c r="M10" s="127" t="n"/>
    </row>
    <row r="11">
      <c r="G11" s="71" t="n">
        <v>2025</v>
      </c>
      <c r="H11" s="69" t="inlineStr">
        <is>
          <t>Q1</t>
        </is>
      </c>
      <c r="I11" s="69" t="n">
        <v>6.39</v>
      </c>
      <c r="J11" s="70" t="n">
        <v>-0.08749999999999999</v>
      </c>
      <c r="K11" s="70" t="n">
        <v>-0.2003</v>
      </c>
      <c r="L11" s="105" t="inlineStr">
        <is>
          <t>25.5万</t>
        </is>
      </c>
      <c r="M11" s="109" t="inlineStr">
        <is>
          <t>光伏组件价格下行、客户订单延迟</t>
        </is>
      </c>
    </row>
    <row r="17" ht="26.4" customHeight="1">
      <c r="E17" t="n">
        <v>7.6</v>
      </c>
      <c r="L17" s="72" t="inlineStr">
        <is>
          <t>年份</t>
        </is>
      </c>
      <c r="M17" s="73" t="inlineStr">
        <is>
          <t>季度</t>
        </is>
      </c>
      <c r="N17" s="73" t="inlineStr">
        <is>
          <t>营业收入（亿元）</t>
        </is>
      </c>
      <c r="O17" s="73" t="inlineStr">
        <is>
          <t>同比变化</t>
        </is>
      </c>
      <c r="P17" s="73" t="inlineStr">
        <is>
          <t>环比变化</t>
        </is>
      </c>
      <c r="Q17" s="118" t="inlineStr">
        <is>
          <t>同期锡价对比</t>
        </is>
      </c>
      <c r="R17" s="118" t="inlineStr">
        <is>
          <t>备注</t>
        </is>
      </c>
    </row>
    <row r="18" ht="26.4" customHeight="1">
      <c r="L18" s="82" t="n">
        <v>2022</v>
      </c>
      <c r="M18" s="80" t="inlineStr">
        <is>
          <t>全年</t>
        </is>
      </c>
      <c r="N18" s="80" t="n">
        <v>27.8</v>
      </c>
      <c r="O18" s="81" t="n">
        <v>-0.0001</v>
      </c>
      <c r="P18" s="80" t="inlineStr">
        <is>
          <t>-</t>
        </is>
      </c>
      <c r="Q18" s="119" t="inlineStr">
        <is>
          <t>27.8万</t>
        </is>
      </c>
      <c r="R18" s="126" t="inlineStr">
        <is>
          <t>消费电子走弱</t>
        </is>
      </c>
    </row>
    <row r="19" ht="26.4" customHeight="1">
      <c r="L19" s="124" t="n">
        <v>2023</v>
      </c>
      <c r="M19" s="75" t="inlineStr">
        <is>
          <t>Q1</t>
        </is>
      </c>
      <c r="N19" s="75" t="n">
        <v>6.07</v>
      </c>
      <c r="O19" s="76" t="n">
        <v>-0.2013157894736841</v>
      </c>
      <c r="P19" s="75" t="inlineStr">
        <is>
          <t>-</t>
        </is>
      </c>
      <c r="Q19" s="119" t="inlineStr">
        <is>
          <t>20.5万</t>
        </is>
      </c>
      <c r="R19" s="126" t="inlineStr">
        <is>
          <t>消费电子走弱</t>
        </is>
      </c>
    </row>
    <row r="20" ht="39.6" customHeight="1">
      <c r="C20" t="n">
        <v>6.74</v>
      </c>
      <c r="L20" s="84" t="n"/>
      <c r="M20" s="77" t="inlineStr">
        <is>
          <t>全年</t>
        </is>
      </c>
      <c r="N20" s="77" t="n">
        <v>26.81</v>
      </c>
      <c r="O20" s="78" t="n">
        <v>-0.03526</v>
      </c>
      <c r="P20" s="77" t="inlineStr">
        <is>
          <t>-</t>
        </is>
      </c>
      <c r="Q20" s="119" t="inlineStr">
        <is>
          <t>21万</t>
        </is>
      </c>
      <c r="R20" s="126" t="inlineStr">
        <is>
          <t>下游需求周期性走弱</t>
        </is>
      </c>
    </row>
    <row r="21">
      <c r="L21" s="124" t="n">
        <v>2024</v>
      </c>
      <c r="M21" s="75" t="inlineStr">
        <is>
          <t>Q1</t>
        </is>
      </c>
      <c r="N21" s="74" t="n">
        <v>6.61</v>
      </c>
      <c r="O21" s="76">
        <f>(N21-N19)/N19</f>
        <v/>
      </c>
      <c r="P21" s="76" t="n">
        <v>-0.01928783382789316</v>
      </c>
      <c r="Q21" s="119" t="inlineStr">
        <is>
          <t>22.8万</t>
        </is>
      </c>
      <c r="R21" s="126" t="inlineStr">
        <is>
          <t>原材料成本压力兼行业内卷加剧</t>
        </is>
      </c>
    </row>
    <row r="22">
      <c r="L22" s="125" t="n"/>
      <c r="M22" s="75" t="inlineStr">
        <is>
          <t>Q2</t>
        </is>
      </c>
      <c r="N22" s="75" t="n">
        <v>8.52</v>
      </c>
      <c r="O22" s="75" t="inlineStr">
        <is>
          <t>-</t>
        </is>
      </c>
      <c r="P22" s="75" t="inlineStr">
        <is>
          <t>-</t>
        </is>
      </c>
      <c r="Q22" s="119" t="inlineStr">
        <is>
          <t>27.5万</t>
        </is>
      </c>
      <c r="R22" s="127" t="n"/>
    </row>
    <row r="23">
      <c r="L23" s="125" t="n"/>
      <c r="M23" s="75" t="inlineStr">
        <is>
          <t>Q3</t>
        </is>
      </c>
      <c r="N23" s="75" t="n">
        <v>8.449999999999999</v>
      </c>
      <c r="O23" s="76" t="n">
        <v>0.0524</v>
      </c>
      <c r="P23" s="76" t="n">
        <v>0.179</v>
      </c>
      <c r="Q23" s="119" t="inlineStr">
        <is>
          <t>26万</t>
        </is>
      </c>
      <c r="R23" s="127" t="n"/>
    </row>
    <row r="24">
      <c r="L24" s="125" t="n"/>
      <c r="M24" s="75" t="inlineStr">
        <is>
          <t>Q4</t>
        </is>
      </c>
      <c r="N24" s="75" t="n">
        <v>8.710000000000001</v>
      </c>
      <c r="O24" s="76" t="n">
        <v>0.1445</v>
      </c>
      <c r="P24" s="76" t="n">
        <v>0.031</v>
      </c>
      <c r="Q24" s="119" t="inlineStr">
        <is>
          <t>24万</t>
        </is>
      </c>
      <c r="R24" s="127" t="n"/>
    </row>
    <row r="25">
      <c r="L25" s="125" t="n"/>
      <c r="M25" s="74" t="inlineStr">
        <is>
          <t>全年</t>
        </is>
      </c>
      <c r="N25" s="74" t="n">
        <v>32.28</v>
      </c>
      <c r="O25" s="79" t="n">
        <v>0.2044</v>
      </c>
      <c r="P25" s="75" t="inlineStr">
        <is>
          <t>-</t>
        </is>
      </c>
      <c r="Q25" s="119" t="inlineStr">
        <is>
          <t>24.8万</t>
        </is>
      </c>
      <c r="R25" s="127" t="n"/>
    </row>
    <row r="26" ht="52.8" customHeight="1">
      <c r="L26" s="71" t="n">
        <v>2025</v>
      </c>
      <c r="M26" s="69" t="inlineStr">
        <is>
          <t>Q1</t>
        </is>
      </c>
      <c r="N26" s="69" t="n">
        <v>7.96</v>
      </c>
      <c r="O26" s="70" t="n">
        <v>0.2034</v>
      </c>
      <c r="P26" s="70" t="n">
        <v>-0.0859</v>
      </c>
      <c r="Q26" s="120" t="inlineStr">
        <is>
          <t>25.5万</t>
        </is>
      </c>
      <c r="R26" s="109" t="inlineStr">
        <is>
          <t>光伏组件价格下行、客户订单延迟</t>
        </is>
      </c>
    </row>
    <row r="30" ht="27" customHeight="1" thickBot="1">
      <c r="L30" s="113" t="inlineStr">
        <is>
          <t>年份/季度</t>
        </is>
      </c>
      <c r="M30" s="113" t="inlineStr">
        <is>
          <t>营业收入（亿元）</t>
        </is>
      </c>
      <c r="N30" s="113" t="inlineStr">
        <is>
          <t>同比变化</t>
        </is>
      </c>
      <c r="O30" s="113" t="inlineStr">
        <is>
          <t>环比变化</t>
        </is>
      </c>
      <c r="P30" s="113" t="inlineStr">
        <is>
          <t>关键影响因素</t>
        </is>
      </c>
    </row>
    <row r="31" ht="40.2" customHeight="1" thickBot="1">
      <c r="L31" s="114" t="inlineStr">
        <is>
          <t>2022年</t>
        </is>
      </c>
      <c r="M31" s="114" t="n">
        <v>27.81</v>
      </c>
      <c r="N31" s="114" t="inlineStr">
        <is>
          <t>≈0%</t>
        </is>
      </c>
      <c r="O31" s="115" t="inlineStr">
        <is>
          <t>-</t>
        </is>
      </c>
      <c r="P31" s="115" t="inlineStr">
        <is>
          <t>疫情冲击、铜粉需求下滑</t>
        </is>
      </c>
    </row>
    <row r="32" ht="27" customHeight="1" thickBot="1">
      <c r="L32" s="115" t="inlineStr">
        <is>
          <t>・Q4</t>
        </is>
      </c>
      <c r="M32" s="115" t="inlineStr">
        <is>
          <t>≈7.80*</t>
        </is>
      </c>
      <c r="N32" s="115" t="inlineStr">
        <is>
          <t>-</t>
        </is>
      </c>
      <c r="O32" s="115" t="inlineStr">
        <is>
          <t>-</t>
        </is>
      </c>
      <c r="P32" s="115" t="inlineStr">
        <is>
          <t>铜粉销量下滑拖累2</t>
        </is>
      </c>
    </row>
    <row r="33" ht="27" customHeight="1" thickBot="1">
      <c r="L33" s="114" t="inlineStr">
        <is>
          <t>2023年</t>
        </is>
      </c>
      <c r="M33" s="114" t="n">
        <v>26.81</v>
      </c>
      <c r="N33" s="116" t="n">
        <v>-0.0358</v>
      </c>
      <c r="O33" s="115" t="inlineStr">
        <is>
          <t>-</t>
        </is>
      </c>
      <c r="P33" s="115" t="inlineStr">
        <is>
          <t>铜粉业务持续承压</t>
        </is>
      </c>
    </row>
    <row r="34" ht="27" customHeight="1" thickBot="1">
      <c r="L34" s="115" t="inlineStr">
        <is>
          <t>・Q1-Q3</t>
        </is>
      </c>
      <c r="M34" s="115" t="inlineStr">
        <is>
          <t>≈18.36*</t>
        </is>
      </c>
      <c r="N34" s="115" t="inlineStr">
        <is>
          <t>-</t>
        </is>
      </c>
      <c r="O34" s="115" t="inlineStr">
        <is>
          <t>-</t>
        </is>
      </c>
      <c r="P34" s="115" t="inlineStr">
        <is>
          <t>传统业务低迷</t>
        </is>
      </c>
    </row>
    <row r="35" ht="53.4" customHeight="1" thickBot="1">
      <c r="L35" s="115" t="inlineStr">
        <is>
          <t>・Q4</t>
        </is>
      </c>
      <c r="M35" s="115" t="n">
        <v>8.449999999999999</v>
      </c>
      <c r="N35" s="115" t="inlineStr">
        <is>
          <t>-</t>
        </is>
      </c>
      <c r="O35" s="117" t="n">
        <v>0.083</v>
      </c>
      <c r="P35" s="115" t="inlineStr">
        <is>
          <t>3D打印粉体放量（+176%）5</t>
        </is>
      </c>
    </row>
    <row r="36" ht="40.2" customHeight="1" thickBot="1">
      <c r="L36" s="114" t="inlineStr">
        <is>
          <t>2024年</t>
        </is>
      </c>
      <c r="M36" s="114" t="n">
        <v>32.29</v>
      </c>
      <c r="N36" s="116" t="n">
        <v>0.2044</v>
      </c>
      <c r="O36" s="115" t="inlineStr">
        <is>
          <t>-</t>
        </is>
      </c>
      <c r="P36" s="115" t="inlineStr">
        <is>
          <t>新产能释放、电子浆料增长</t>
        </is>
      </c>
    </row>
    <row r="37" ht="27" customHeight="1" thickBot="1">
      <c r="L37" s="115" t="inlineStr">
        <is>
          <t>・Q1</t>
        </is>
      </c>
      <c r="M37" s="115" t="n">
        <v>7.96</v>
      </c>
      <c r="N37" s="117" t="n">
        <v>0.2034</v>
      </c>
      <c r="O37" s="117" t="n">
        <v>-0.059</v>
      </c>
      <c r="P37" s="115" t="inlineStr">
        <is>
          <t>泰国基地投产5</t>
        </is>
      </c>
    </row>
    <row r="38" ht="27" customHeight="1" thickBot="1">
      <c r="L38" s="115" t="inlineStr">
        <is>
          <t>・Q2</t>
        </is>
      </c>
      <c r="M38" s="115" t="inlineStr">
        <is>
          <t>≈7.17*</t>
        </is>
      </c>
      <c r="N38" s="115" t="inlineStr">
        <is>
          <t>-</t>
        </is>
      </c>
      <c r="O38" s="117" t="n">
        <v>-0.099</v>
      </c>
      <c r="P38" s="115" t="inlineStr">
        <is>
          <t>高温淡季影响</t>
        </is>
      </c>
    </row>
    <row r="39" ht="27" customHeight="1" thickBot="1">
      <c r="L39" s="115" t="inlineStr">
        <is>
          <t>・Q3</t>
        </is>
      </c>
      <c r="M39" s="115" t="n">
        <v>8.449999999999999</v>
      </c>
      <c r="N39" s="117" t="n">
        <v>0.1445</v>
      </c>
      <c r="O39" s="117" t="n">
        <v>0.179</v>
      </c>
      <c r="P39" s="115" t="inlineStr">
        <is>
          <t>电子浆料订单增长4</t>
        </is>
      </c>
    </row>
    <row r="40" ht="40.2" customHeight="1" thickBot="1">
      <c r="L40" s="115" t="inlineStr">
        <is>
          <t>・Q4</t>
        </is>
      </c>
      <c r="M40" s="115" t="n">
        <v>8.710000000000001</v>
      </c>
      <c r="N40" s="117" t="n">
        <v>0.2911</v>
      </c>
      <c r="O40" s="117" t="n">
        <v>0.031</v>
      </c>
      <c r="P40" s="115" t="inlineStr">
        <is>
          <t>导热铜粉量产（月供4-5吨）6</t>
        </is>
      </c>
    </row>
    <row r="41" ht="14.4" customHeight="1" thickBot="1">
      <c r="L41" s="114" t="inlineStr">
        <is>
          <t>2025年</t>
        </is>
      </c>
      <c r="M41" s="115" t="inlineStr">
        <is>
          <t>-</t>
        </is>
      </c>
      <c r="N41" s="115" t="inlineStr">
        <is>
          <t>-</t>
        </is>
      </c>
      <c r="O41" s="115" t="inlineStr">
        <is>
          <t>-</t>
        </is>
      </c>
      <c r="P41" s="115" t="inlineStr">
        <is>
          <t>AI需求驱动</t>
        </is>
      </c>
    </row>
    <row r="42" ht="27" customHeight="1" thickBot="1">
      <c r="L42" s="115" t="inlineStr">
        <is>
          <t>・Q1</t>
        </is>
      </c>
      <c r="M42" s="114" t="n">
        <v>7.96</v>
      </c>
      <c r="N42" s="116" t="n">
        <v>0.2034</v>
      </c>
      <c r="O42" s="116" t="n">
        <v>-0.0859</v>
      </c>
      <c r="P42" s="115" t="inlineStr">
        <is>
          <t>GPU散热铜粉放量68</t>
        </is>
      </c>
    </row>
  </sheetData>
  <mergeCells count="4">
    <mergeCell ref="L21:L25"/>
    <mergeCell ref="G6:G10"/>
    <mergeCell ref="M6:M10"/>
    <mergeCell ref="R21:R25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3.8"/>
  <cols>
    <col width="10" customWidth="1" min="1" max="1"/>
    <col width="16" customWidth="1" min="2" max="2"/>
    <col width="60" customWidth="1" min="5" max="5"/>
    <col width="9" customWidth="1" min="6" max="19"/>
  </cols>
  <sheetData>
    <row r="1">
      <c r="A1" s="123" t="inlineStr">
        <is>
          <t>公司</t>
        </is>
      </c>
      <c r="B1" s="123" t="inlineStr">
        <is>
          <t>指标</t>
        </is>
      </c>
      <c r="C1" s="123" t="inlineStr">
        <is>
          <t>单位</t>
        </is>
      </c>
      <c r="D1" s="123" t="inlineStr">
        <is>
          <t>数据性质</t>
        </is>
      </c>
      <c r="E1" s="123" t="inlineStr">
        <is>
          <t>备注</t>
        </is>
      </c>
      <c r="F1" s="123" t="inlineStr">
        <is>
          <t>2023Q1</t>
        </is>
      </c>
      <c r="G1" s="123" t="inlineStr">
        <is>
          <t>2023Q2</t>
        </is>
      </c>
      <c r="H1" s="123" t="inlineStr">
        <is>
          <t>2023Q3</t>
        </is>
      </c>
      <c r="I1" s="123" t="inlineStr">
        <is>
          <t>2023Q4</t>
        </is>
      </c>
      <c r="J1" s="123" t="inlineStr">
        <is>
          <t>2024Q1</t>
        </is>
      </c>
      <c r="K1" s="123" t="inlineStr">
        <is>
          <t>2024Q2</t>
        </is>
      </c>
      <c r="L1" s="123" t="inlineStr">
        <is>
          <t>2024Q3</t>
        </is>
      </c>
      <c r="M1" s="123" t="inlineStr">
        <is>
          <t>2024Q4</t>
        </is>
      </c>
      <c r="N1" s="123" t="inlineStr">
        <is>
          <t>2025Q1</t>
        </is>
      </c>
      <c r="O1" s="123" t="inlineStr">
        <is>
          <t>2025Q2</t>
        </is>
      </c>
      <c r="P1" s="123" t="inlineStr">
        <is>
          <t>2025Q3</t>
        </is>
      </c>
      <c r="Q1" s="123" t="inlineStr">
        <is>
          <t>2025Q4</t>
        </is>
      </c>
      <c r="R1" s="123" t="inlineStr">
        <is>
          <t>2026Q1</t>
        </is>
      </c>
      <c r="S1" s="123" t="inlineStr">
        <is>
          <t>2026Q2</t>
        </is>
      </c>
    </row>
    <row r="2">
      <c r="A2" t="inlineStr">
        <is>
          <t>云锡</t>
        </is>
      </c>
      <c r="B2" t="inlineStr">
        <is>
          <t>产品锡</t>
        </is>
      </c>
      <c r="C2" t="inlineStr">
        <is>
          <t>吨</t>
        </is>
      </c>
      <c r="D2" t="inlineStr">
        <is>
          <t>Q1披露；Q2-Q4=累计相减</t>
        </is>
      </c>
      <c r="E2" t="inlineStr">
        <is>
          <t>季报/中报/三季报累计口径（2023:Q1 2.08万/H1 4.24万/9M 5.90万/FY 8.00万；2024:2.24/4.52/6.42/8.48万；2025:2.42/4.81/6.77/9.12万）。注：Sheet1锭表83478为锡锭78454+锡材5024口径，与产品锡8.48万吨口径不同；2026H1 产品锡 5.18 万吨（中报 8/21），Q2=H1−Q1 推算</t>
        </is>
      </c>
      <c r="F2" t="n">
        <v>20800</v>
      </c>
      <c r="G2" t="n">
        <v>21600</v>
      </c>
      <c r="H2" t="n">
        <v>16600</v>
      </c>
      <c r="I2" t="n">
        <v>21000</v>
      </c>
      <c r="J2" t="n">
        <v>22400</v>
      </c>
      <c r="K2" t="n">
        <v>22800</v>
      </c>
      <c r="L2" t="n">
        <v>19000</v>
      </c>
      <c r="M2" t="n">
        <v>20600</v>
      </c>
      <c r="N2" t="n">
        <v>24200</v>
      </c>
      <c r="O2" t="n">
        <v>23900</v>
      </c>
      <c r="P2" t="n">
        <v>19600</v>
      </c>
      <c r="Q2" t="n">
        <v>23500</v>
      </c>
      <c r="R2" t="n">
        <v>25900</v>
      </c>
      <c r="S2" t="n">
        <v>25900</v>
      </c>
    </row>
    <row r="3">
      <c r="A3" t="inlineStr">
        <is>
          <t>云锡</t>
        </is>
      </c>
      <c r="B3" t="inlineStr">
        <is>
          <t>锡矿(拟合)</t>
        </is>
      </c>
      <c r="C3" t="inlineStr">
        <is>
          <t>吨</t>
        </is>
      </c>
      <c r="D3" t="inlineStr">
        <is>
          <t>估算</t>
        </is>
      </c>
      <c r="E3" t="inlineStr">
        <is>
          <t>原矿金属量仅年报披露(2023=31958/2024=31173/2025=31788)，季度值=年度×产品锡季节分布(26.3/26.7/21.6/25.4%，Q3夏季检修为低点)，尾差并入Q4；2026H1拟合：中报(8/20)未披露原矿金属量，按H1产品锡5.18万吨×2025矿/产品比(31788/91200≈34.9%)≈18,055吨，26Q1/26Q2=H1/2=9,027/9,028(拟合)</t>
        </is>
      </c>
      <c r="F3" t="n">
        <v>8405</v>
      </c>
      <c r="G3" t="n">
        <v>8533</v>
      </c>
      <c r="H3" t="n">
        <v>6903</v>
      </c>
      <c r="I3" t="n">
        <v>8117</v>
      </c>
      <c r="J3" t="n">
        <v>8198</v>
      </c>
      <c r="K3" t="n">
        <v>8323</v>
      </c>
      <c r="L3" t="n">
        <v>6733</v>
      </c>
      <c r="M3" t="n">
        <v>7919</v>
      </c>
      <c r="N3" t="n">
        <v>8360</v>
      </c>
      <c r="O3" t="n">
        <v>8487</v>
      </c>
      <c r="P3" t="n">
        <v>6866</v>
      </c>
      <c r="Q3" t="n">
        <v>8075</v>
      </c>
      <c r="R3" t="n">
        <v>9027</v>
      </c>
      <c r="S3" t="n">
        <v>9028</v>
      </c>
    </row>
    <row r="4">
      <c r="A4" t="inlineStr">
        <is>
          <t>华锡有色</t>
        </is>
      </c>
      <c r="B4" t="inlineStr">
        <is>
          <t>锡精矿(金属吨)</t>
        </is>
      </c>
      <c r="C4" t="inlineStr">
        <is>
          <t>金属吨</t>
        </is>
      </c>
      <c r="D4" t="inlineStr">
        <is>
          <t>Q3单季披露；Q1/Q2/Q4累计推算</t>
        </is>
      </c>
      <c r="E4" t="inlineStr">
        <is>
          <t>2023Q1-Q2未单独披露(H1累计2797.30)；2023全年6500.19；公告为「锡精矿(含低度锡)」口径，勿与委托加工量混用；2026中报(8/17)：H1锡精矿3,672.16金属吨(+12.17%)，26Q2=H1−26Q1 1,733.04=1,939.12(推算)</t>
        </is>
      </c>
      <c r="H4" t="n">
        <v>1625.55</v>
      </c>
      <c r="I4" t="n">
        <v>2077.34</v>
      </c>
      <c r="J4" t="n">
        <v>1708.7</v>
      </c>
      <c r="K4" t="n">
        <v>1780.88</v>
      </c>
      <c r="L4" t="n">
        <v>1777.46</v>
      </c>
      <c r="M4" t="n">
        <v>1697.64</v>
      </c>
      <c r="N4" t="n">
        <v>1623.52</v>
      </c>
      <c r="O4" t="n">
        <v>1650.28</v>
      </c>
      <c r="P4" t="n">
        <v>1484.88</v>
      </c>
      <c r="Q4" t="n">
        <v>1770.91</v>
      </c>
      <c r="R4" t="n">
        <v>1733.04</v>
      </c>
      <c r="S4" t="n">
        <v>1939.12</v>
      </c>
    </row>
    <row r="5">
      <c r="A5" t="inlineStr">
        <is>
          <t>华锡有色</t>
        </is>
      </c>
      <c r="B5" t="inlineStr">
        <is>
          <t>锡锭</t>
        </is>
      </c>
      <c r="C5" t="inlineStr">
        <is>
          <t>吨</t>
        </is>
      </c>
      <c r="D5" t="inlineStr">
        <is>
          <t>Q1/Q3披露；Q2/Q4累计推算</t>
        </is>
      </c>
      <c r="E5" t="inlineStr">
        <is>
          <t>锡锭=自产精矿加工+外购原料委托加工；2026Q1同比-37%系外购收缩；2026中报(8/17)：H1锡锭5,592.55吨(-9.02%，委外加工口径)，26Q2=H1−1,828.71=3,763.84(推算)</t>
        </is>
      </c>
      <c r="F5" t="n">
        <v>1269.34</v>
      </c>
      <c r="G5" t="n">
        <v>1226.46</v>
      </c>
      <c r="H5" t="n">
        <v>2254.38</v>
      </c>
      <c r="I5" t="n">
        <v>2445.68</v>
      </c>
      <c r="J5" t="n">
        <v>3450.81</v>
      </c>
      <c r="K5" t="n">
        <v>1701.6</v>
      </c>
      <c r="L5" t="n">
        <v>2578.84</v>
      </c>
      <c r="M5" t="n">
        <v>3569.8</v>
      </c>
      <c r="N5" t="n">
        <v>2909.06</v>
      </c>
      <c r="O5" t="n">
        <v>3237.96</v>
      </c>
      <c r="P5" t="n">
        <v>2750.32</v>
      </c>
      <c r="Q5" t="n">
        <v>2628.25</v>
      </c>
      <c r="R5" t="n">
        <v>1828.71</v>
      </c>
      <c r="S5" t="n">
        <v>3763.84</v>
      </c>
    </row>
    <row r="6">
      <c r="A6" t="inlineStr">
        <is>
          <t>兴业银锡</t>
        </is>
      </c>
      <c r="B6" t="inlineStr">
        <is>
          <t>矿产锡</t>
        </is>
      </c>
      <c r="C6" t="inlineStr">
        <is>
          <t>吨</t>
        </is>
      </c>
      <c r="D6" t="inlineStr">
        <is>
          <t>混合：披露/累计推算/估算</t>
        </is>
      </c>
      <c r="E6" t="inlineStr">
        <is>
          <t>矿产锡=锡金属+锡次金属。2023Q1=616.48(锡金属555.26+次61.22,披露)；2023Q4≈3600为指引/间接佐证(估算,官方指引3583)；2023Q2/Q3未披露(全年7769.25)；2024:H1累计4523.23/9M累计6504.77(披露),Q3/Q4为相减,Q1/Q2未拆分;2025Q1≈1507/Q2≈2083为推算,H1累计3589.82/9M累计5651.48披露;2026Q1=777.33披露；2026中报(8/29)：H1矿产锡2,758.46吨(公司口径,全部来自银漫矿业,-23%)，26Q2=H1−777.33=1,981.13(推算,与锡矿·季度产量表同口径)</t>
        </is>
      </c>
      <c r="F6" t="n">
        <v>616.48</v>
      </c>
      <c r="I6" t="n">
        <v>3600</v>
      </c>
      <c r="L6" t="n">
        <v>1981.54</v>
      </c>
      <c r="M6" t="n">
        <v>2397.08</v>
      </c>
      <c r="N6" t="n">
        <v>1507</v>
      </c>
      <c r="O6" t="n">
        <v>2083</v>
      </c>
      <c r="P6" t="n">
        <v>2061.66</v>
      </c>
      <c r="Q6" t="n">
        <v>1027.86</v>
      </c>
      <c r="R6" t="n">
        <v>777.33</v>
      </c>
      <c r="S6" t="n">
        <v>1981.13</v>
      </c>
    </row>
    <row r="7">
      <c r="A7" t="inlineStr">
        <is>
          <t>明苏尔</t>
        </is>
      </c>
      <c r="B7" t="inlineStr">
        <is>
          <t>矿产锡(SR+B2)</t>
        </is>
      </c>
      <c r="C7" t="inlineStr">
        <is>
          <t>吨</t>
        </is>
      </c>
      <c r="D7" t="inlineStr">
        <is>
          <t>披露(2023Q1为增速反推)</t>
        </is>
      </c>
      <c r="E7" t="inlineStr">
        <is>
          <t>San Rafael+B2尾矿厂合计。2023Q1秘鲁社会动荡停产低基数；2025Q2=8390(SR6459+B2 1931)；2Q26：SR 7,359(+14%)+B2尾矿2,152(+11%)=9,511(+13%)，H1合计17,504(+6%)(源:SMM锡快讯8/7转Minsur 2Q26季报)</t>
        </is>
      </c>
      <c r="F7" t="n">
        <v>2136</v>
      </c>
      <c r="G7" t="n">
        <v>7541</v>
      </c>
      <c r="H7" t="n">
        <v>7973</v>
      </c>
      <c r="I7" t="n">
        <v>8576</v>
      </c>
      <c r="J7" t="n">
        <v>8121</v>
      </c>
      <c r="K7" t="n">
        <v>8205</v>
      </c>
      <c r="L7" t="n">
        <v>8308</v>
      </c>
      <c r="M7" t="n">
        <v>7676</v>
      </c>
      <c r="N7" t="n">
        <v>8058</v>
      </c>
      <c r="O7" t="n">
        <v>8390</v>
      </c>
      <c r="P7" t="n">
        <v>8978</v>
      </c>
      <c r="Q7" t="n">
        <v>8394</v>
      </c>
      <c r="R7" t="n">
        <v>7993</v>
      </c>
      <c r="S7" t="n">
        <v>9511</v>
      </c>
    </row>
    <row r="8">
      <c r="A8" t="inlineStr">
        <is>
          <t>明苏尔</t>
        </is>
      </c>
      <c r="B8" t="inlineStr">
        <is>
          <t>精炼锡(Pisco)</t>
        </is>
      </c>
      <c r="C8" t="inlineStr">
        <is>
          <t>吨</t>
        </is>
      </c>
      <c r="D8" t="inlineStr">
        <is>
          <t>披露</t>
        </is>
      </c>
      <c r="E8" t="inlineStr">
        <is>
          <t>2023全年25329(单季加总25304,舍入差25);2024=30926;2025=32981；2Q26 Pisco 精炼锡 7,034 吨（-1%），H1=15,349 吨</t>
        </is>
      </c>
      <c r="F8" t="n">
        <v>2716</v>
      </c>
      <c r="G8" t="n">
        <v>7223</v>
      </c>
      <c r="H8" t="n">
        <v>7685</v>
      </c>
      <c r="I8" t="n">
        <v>7680</v>
      </c>
      <c r="J8" t="n">
        <v>6388</v>
      </c>
      <c r="K8" t="n">
        <v>7143</v>
      </c>
      <c r="L8" t="n">
        <v>8107</v>
      </c>
      <c r="M8" t="n">
        <v>9288</v>
      </c>
      <c r="N8" t="n">
        <v>8598</v>
      </c>
      <c r="O8" t="n">
        <v>7089</v>
      </c>
      <c r="P8" t="n">
        <v>8699</v>
      </c>
      <c r="Q8" t="n">
        <v>8596</v>
      </c>
      <c r="R8" t="n">
        <v>8314</v>
      </c>
      <c r="S8" t="n">
        <v>7034</v>
      </c>
    </row>
    <row r="9">
      <c r="A9" t="inlineStr">
        <is>
          <t>Andrada Mining</t>
        </is>
      </c>
      <c r="B9" t="inlineStr">
        <is>
          <t>锡精矿含锡(Uis)</t>
        </is>
      </c>
      <c r="C9" t="inlineStr">
        <is>
          <t>吨</t>
        </is>
      </c>
      <c r="D9" t="inlineStr">
        <is>
          <t>待披露（骨架行）</t>
        </is>
      </c>
      <c r="E9" t="inlineStr">
        <is>
          <t>LSE AIM季度运营报告（Uis矿，锡精矿产量/含锡量/成本）；2026-08-18新增骨架，季度数据待回填；FY27Q1（止5/31）Uis 含锡量 286 吨（+20%），RNS 6/29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n">
        <v>286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3.8"/>
  <cols>
    <col width="14" customWidth="1" min="1" max="2"/>
    <col width="18" customWidth="1" min="3" max="3"/>
    <col width="14" customWidth="1" min="4" max="25"/>
    <col width="40" customWidth="1" min="26" max="26"/>
    <col width="14" customWidth="1" min="27" max="29"/>
  </cols>
  <sheetData>
    <row r="1">
      <c r="A1" t="inlineStr">
        <is>
          <t>公司</t>
        </is>
      </c>
      <c r="B1" t="inlineStr">
        <is>
          <t>国家</t>
        </is>
      </c>
      <c r="C1" t="inlineStr">
        <is>
          <t>项目/口径</t>
        </is>
      </c>
      <c r="D1" t="inlineStr">
        <is>
          <t>23Q1</t>
        </is>
      </c>
      <c r="E1" t="inlineStr">
        <is>
          <t>23Q2</t>
        </is>
      </c>
      <c r="F1" t="inlineStr">
        <is>
          <t>23Q3</t>
        </is>
      </c>
      <c r="G1" t="inlineStr">
        <is>
          <t>23Q4</t>
        </is>
      </c>
      <c r="H1" t="inlineStr">
        <is>
          <t>23总计</t>
        </is>
      </c>
      <c r="I1" t="inlineStr">
        <is>
          <t>24Q1</t>
        </is>
      </c>
      <c r="J1" t="inlineStr">
        <is>
          <t>24Q2</t>
        </is>
      </c>
      <c r="K1" t="inlineStr">
        <is>
          <t>24Q3</t>
        </is>
      </c>
      <c r="L1" t="inlineStr">
        <is>
          <t>24Q4</t>
        </is>
      </c>
      <c r="M1" t="inlineStr">
        <is>
          <t>24总计</t>
        </is>
      </c>
      <c r="N1" t="inlineStr">
        <is>
          <t>25Q1</t>
        </is>
      </c>
      <c r="O1" t="inlineStr">
        <is>
          <t>25Q2</t>
        </is>
      </c>
      <c r="P1" t="inlineStr">
        <is>
          <t>25Q3</t>
        </is>
      </c>
      <c r="Q1" t="inlineStr">
        <is>
          <t>25Q4</t>
        </is>
      </c>
      <c r="R1" t="inlineStr">
        <is>
          <t>25总计</t>
        </is>
      </c>
      <c r="S1" t="inlineStr">
        <is>
          <t>25同比</t>
        </is>
      </c>
      <c r="T1" t="inlineStr">
        <is>
          <t>26Q1</t>
        </is>
      </c>
      <c r="U1" t="inlineStr">
        <is>
          <t>26Q1同比</t>
        </is>
      </c>
      <c r="V1" t="inlineStr">
        <is>
          <t>26Q2</t>
        </is>
      </c>
      <c r="W1" t="inlineStr">
        <is>
          <t>26Q2同比</t>
        </is>
      </c>
      <c r="X1" t="inlineStr">
        <is>
          <t>变化原因</t>
        </is>
      </c>
      <c r="Y1" t="inlineStr">
        <is>
          <t>FY2026指引</t>
        </is>
      </c>
      <c r="Z1" t="inlineStr">
        <is>
          <t>备注</t>
        </is>
      </c>
      <c r="AA1" t="inlineStr">
        <is>
          <t>2021</t>
        </is>
      </c>
      <c r="AB1" t="inlineStr">
        <is>
          <t>2022</t>
        </is>
      </c>
      <c r="AC1" t="inlineStr">
        <is>
          <t>数据性质</t>
        </is>
      </c>
    </row>
    <row r="2">
      <c r="A2" t="inlineStr">
        <is>
          <t>云南锡业</t>
        </is>
      </c>
      <c r="B2" t="inlineStr">
        <is>
          <t>中国</t>
        </is>
      </c>
      <c r="C2" t="inlineStr">
        <is>
          <t>锡矿(拟合)</t>
        </is>
      </c>
      <c r="D2" t="n">
        <v>8405</v>
      </c>
      <c r="E2" t="n">
        <v>8533</v>
      </c>
      <c r="F2" t="n">
        <v>6903</v>
      </c>
      <c r="G2" t="n">
        <v>8117</v>
      </c>
      <c r="H2" t="n">
        <v>31958</v>
      </c>
      <c r="I2" t="n">
        <v>8198</v>
      </c>
      <c r="J2" t="n">
        <v>8323</v>
      </c>
      <c r="K2" t="n">
        <v>6733</v>
      </c>
      <c r="L2" t="n">
        <v>7919</v>
      </c>
      <c r="M2" t="n">
        <v>31173</v>
      </c>
      <c r="N2" t="n">
        <v>8360</v>
      </c>
      <c r="O2" t="n">
        <v>8487</v>
      </c>
      <c r="P2" t="n">
        <v>6866</v>
      </c>
      <c r="Q2" t="n">
        <v>8075</v>
      </c>
      <c r="R2" t="n">
        <v>31788</v>
      </c>
      <c r="S2" t="n">
        <v>0.01972861129823886</v>
      </c>
      <c r="T2" t="inlineStr">
        <is>
          <t>-</t>
        </is>
      </c>
      <c r="V2" t="inlineStr">
        <is>
          <t>-</t>
        </is>
      </c>
      <c r="X2" t="inlineStr">
        <is>
          <t>2026中报(8/20)未披露锡矿金属量（原矿口径年报才披露）；中报仅产品锡(冶炼口径)H1 5.18万吨——见精炼锡行</t>
        </is>
      </c>
      <c r="Y2" t="inlineStr">
        <is>
          <t>32000</t>
        </is>
      </c>
      <c r="Z2" t="inlineStr">
        <is>
          <t>原矿金属量仅年报披露(2023=31958/2024=31173/2025=31788)，季度值=年度×产品锡季节分布(26.3/26.7/21.6/25.4%，Q3夏季检修为低点)，尾差并入Q4</t>
        </is>
      </c>
      <c r="AA2" t="n">
        <v>35000</v>
      </c>
      <c r="AB2" t="n">
        <v>34383</v>
      </c>
      <c r="AC2" t="inlineStr">
        <is>
          <t>估算</t>
        </is>
      </c>
    </row>
    <row r="3">
      <c r="A3" t="inlineStr">
        <is>
          <t>华锡有色</t>
        </is>
      </c>
      <c r="B3" t="inlineStr">
        <is>
          <t>中国</t>
        </is>
      </c>
      <c r="C3" t="inlineStr">
        <is>
          <t>锡精矿(金属吨)</t>
        </is>
      </c>
      <c r="F3" t="n">
        <v>1625.55</v>
      </c>
      <c r="G3" t="n">
        <v>2077.34</v>
      </c>
      <c r="H3" t="n">
        <v>6500</v>
      </c>
      <c r="I3" t="n">
        <v>1708.7</v>
      </c>
      <c r="J3" t="n">
        <v>1780.88</v>
      </c>
      <c r="K3" t="n">
        <v>1777.46</v>
      </c>
      <c r="L3" t="n">
        <v>1697.64</v>
      </c>
      <c r="M3" t="n">
        <v>6965</v>
      </c>
      <c r="N3" t="n">
        <v>1623.52</v>
      </c>
      <c r="O3" t="n">
        <v>1650.28</v>
      </c>
      <c r="P3" t="n">
        <v>1484.88</v>
      </c>
      <c r="Q3" t="n">
        <v>1770.91</v>
      </c>
      <c r="R3" t="n">
        <v>6530</v>
      </c>
      <c r="S3" t="n">
        <v>-0.0624551328068916</v>
      </c>
      <c r="T3" t="n">
        <v>1733.04</v>
      </c>
      <c r="U3" t="n">
        <v>0.06745836207746131</v>
      </c>
      <c r="V3" t="n">
        <v>1939.12</v>
      </c>
      <c r="X3" t="inlineStr">
        <is>
          <t>2026中报(8/17)：H1锡精矿3,672.16金属吨(+12.17%)−26Q1 1,733.04=1,939.12（推算）</t>
        </is>
      </c>
      <c r="Y3" t="inlineStr">
        <is>
          <t>6500</t>
        </is>
      </c>
      <c r="Z3" t="inlineStr">
        <is>
          <t>2023Q1-Q2未单独披露(H1累计2797.30)；2023全年6500.19；公告为「锡精矿(含低度锡)」口径，勿与委托加工量混用</t>
        </is>
      </c>
      <c r="AA3" t="n">
        <v>6548</v>
      </c>
      <c r="AB3" t="n">
        <v>5289</v>
      </c>
      <c r="AC3" t="inlineStr">
        <is>
          <t>Q3单季披露；Q1/Q2/Q4累计推算</t>
        </is>
      </c>
    </row>
    <row r="4">
      <c r="A4" t="inlineStr">
        <is>
          <t>兴业银锡</t>
        </is>
      </c>
      <c r="B4" t="inlineStr">
        <is>
          <t>中国</t>
        </is>
      </c>
      <c r="C4" t="inlineStr">
        <is>
          <t>矿产锡</t>
        </is>
      </c>
      <c r="D4" t="n">
        <v>616.48</v>
      </c>
      <c r="G4" t="n">
        <v>3600</v>
      </c>
      <c r="H4" t="n">
        <v>7769</v>
      </c>
      <c r="K4" t="n">
        <v>1981.54</v>
      </c>
      <c r="L4" t="n">
        <v>2397.08</v>
      </c>
      <c r="M4" t="n">
        <v>8902</v>
      </c>
      <c r="N4" t="n">
        <v>1507</v>
      </c>
      <c r="O4" t="n">
        <v>2083</v>
      </c>
      <c r="P4" t="n">
        <v>2061.66</v>
      </c>
      <c r="Q4" t="n">
        <v>1027.86</v>
      </c>
      <c r="R4" t="n">
        <v>6679</v>
      </c>
      <c r="S4" t="n">
        <v>-0.2497191642327567</v>
      </c>
      <c r="T4" t="n">
        <v>777.33</v>
      </c>
      <c r="U4" t="n">
        <v>-0.4841871267418713</v>
      </c>
      <c r="V4" t="n">
        <v>1981.13</v>
      </c>
      <c r="X4" t="inlineStr">
        <is>
          <t>2026中报(8/29)：H1矿产锡2,758.46吨(公司口径,全部来自银漫矿业,-23%)−26Q1 777.33=1,981.13（推算）；银漫7/26事故停产属期后事项,影响Q3</t>
        </is>
      </c>
      <c r="Y4" t="inlineStr">
        <is>
          <t>9500</t>
        </is>
      </c>
      <c r="Z4" t="inlineStr">
        <is>
          <t>口径：矿产锡 = 锡金属(合格锡精矿含锡) + 锡次金属(低品位锡精粉)，并列相加、非包含｜矿产锡=锡金属+锡次金属。2023Q1=616.48(锡金属555.26+次61.22,披露)；2023Q4≈3600为指引/间接佐证(估算,官方指引3583)；2023Q2/Q3未披露(全年7769.25)；2024:H1累计4523.23/9M累计6504.77(披露),Q3/Q4为相减,Q1/Q2未拆分;2025Q1≈1507/Q2≈2083为推算,H1累计3589.82/9M累计5651.48披露;2026Q1=777.33披露</t>
        </is>
      </c>
      <c r="AA4" t="n">
        <v>1472</v>
      </c>
      <c r="AB4" t="n">
        <v>3042</v>
      </c>
      <c r="AC4" t="inlineStr">
        <is>
          <t>混合：披露/累计推算/估算</t>
        </is>
      </c>
    </row>
    <row r="5">
      <c r="A5" t="inlineStr">
        <is>
          <t>明苏尔</t>
        </is>
      </c>
      <c r="B5" t="inlineStr">
        <is>
          <t>秘鲁</t>
        </is>
      </c>
      <c r="C5" t="inlineStr">
        <is>
          <t>矿产锡(SR+B2)</t>
        </is>
      </c>
      <c r="D5" t="n">
        <v>2136</v>
      </c>
      <c r="E5" t="n">
        <v>7541</v>
      </c>
      <c r="F5" t="n">
        <v>7973</v>
      </c>
      <c r="G5" t="n">
        <v>8576</v>
      </c>
      <c r="H5" t="n">
        <v>26173</v>
      </c>
      <c r="I5" t="n">
        <v>8121</v>
      </c>
      <c r="J5" t="n">
        <v>8205</v>
      </c>
      <c r="K5" t="n">
        <v>8308</v>
      </c>
      <c r="L5" t="n">
        <v>7676</v>
      </c>
      <c r="M5" t="n">
        <v>32310</v>
      </c>
      <c r="N5" t="n">
        <v>8058</v>
      </c>
      <c r="O5" t="n">
        <v>8390</v>
      </c>
      <c r="P5" t="n">
        <v>8978</v>
      </c>
      <c r="Q5" t="n">
        <v>8394</v>
      </c>
      <c r="R5" t="n">
        <v>33820</v>
      </c>
      <c r="S5" t="n">
        <v>0.04673475704116373</v>
      </c>
      <c r="T5" t="n">
        <v>7993</v>
      </c>
      <c r="U5" t="n">
        <v>-0.008066517746339041</v>
      </c>
      <c r="V5" t="n">
        <v>9511</v>
      </c>
      <c r="X5" t="inlineStr">
        <is>
          <t>26Q2锡精矿含锡合计9,511吨(+13%)=San Rafael 7,359(+14%)+B2尾矿2,152(+11%)；SMM锡快讯8/7+ITA 8/5转述官方季报（两家一致）</t>
        </is>
      </c>
      <c r="Y5" t="inlineStr">
        <is>
          <t>23000</t>
        </is>
      </c>
      <c r="Z5" t="inlineStr">
        <is>
          <t>San Rafael+B2尾矿厂合计。2023Q1秘鲁社会动荡停产低基数；2025Q2=8390(SR6459+B2 1931)</t>
        </is>
      </c>
      <c r="AA5" t="n">
        <v>23992</v>
      </c>
      <c r="AB5" t="n">
        <v>22946</v>
      </c>
      <c r="AC5" t="inlineStr">
        <is>
          <t>披露(2023Q1为增速反推)</t>
        </is>
      </c>
    </row>
    <row r="6">
      <c r="A6" t="inlineStr">
        <is>
          <t>Alphamin</t>
        </is>
      </c>
      <c r="B6" t="inlineStr">
        <is>
          <t>刚果</t>
        </is>
      </c>
      <c r="C6" t="inlineStr">
        <is>
          <t>锡矿</t>
        </is>
      </c>
      <c r="D6" t="n">
        <v>3187</v>
      </c>
      <c r="E6" t="n">
        <v>3151</v>
      </c>
      <c r="F6" t="n">
        <v>3104</v>
      </c>
      <c r="G6" t="n">
        <v>3126</v>
      </c>
      <c r="H6" t="n">
        <v>12568</v>
      </c>
      <c r="I6" t="n">
        <v>3142</v>
      </c>
      <c r="J6" t="n">
        <v>4027</v>
      </c>
      <c r="K6" t="n">
        <v>4917</v>
      </c>
      <c r="L6" t="n">
        <v>5237</v>
      </c>
      <c r="M6" t="n">
        <v>17323</v>
      </c>
      <c r="N6" t="n">
        <v>4270</v>
      </c>
      <c r="O6" t="n">
        <v>4106</v>
      </c>
      <c r="P6" t="n">
        <v>5190</v>
      </c>
      <c r="Q6" t="n">
        <v>5008</v>
      </c>
      <c r="R6" t="n">
        <v>18576</v>
      </c>
      <c r="S6" t="n">
        <v>0.07233158228944178</v>
      </c>
      <c r="T6" t="n">
        <v>5026</v>
      </c>
      <c r="U6" t="n">
        <v>0.1770491803278688</v>
      </c>
      <c r="V6" t="n">
        <v>5013</v>
      </c>
      <c r="W6" t="n">
        <v>0.2208962493911349</v>
      </c>
      <c r="X6" t="inlineStr">
        <is>
          <t>新增投产落地</t>
        </is>
      </c>
      <c r="Y6" t="inlineStr">
        <is>
          <t>17500</t>
        </is>
      </c>
      <c r="AA6" t="n">
        <v>10969</v>
      </c>
      <c r="AB6" t="n">
        <v>12366</v>
      </c>
      <c r="AC6" t="inlineStr">
        <is>
          <t>披露</t>
        </is>
      </c>
    </row>
    <row r="7">
      <c r="A7" t="inlineStr">
        <is>
          <t>Metals X</t>
        </is>
      </c>
      <c r="B7" t="inlineStr">
        <is>
          <t>澳大利亚</t>
        </is>
      </c>
      <c r="C7" t="inlineStr">
        <is>
          <t>锡矿(100%口径)</t>
        </is>
      </c>
      <c r="D7" t="n">
        <v>1981</v>
      </c>
      <c r="E7" t="n">
        <v>2292</v>
      </c>
      <c r="F7" t="n">
        <v>2545</v>
      </c>
      <c r="G7" t="n">
        <v>2714</v>
      </c>
      <c r="H7" t="n">
        <v>9532</v>
      </c>
      <c r="I7" t="n">
        <v>2272</v>
      </c>
      <c r="J7" t="n">
        <v>2506</v>
      </c>
      <c r="K7" t="n">
        <v>2899</v>
      </c>
      <c r="L7" t="n">
        <v>3329</v>
      </c>
      <c r="M7" t="n">
        <v>11006</v>
      </c>
      <c r="N7" t="n">
        <v>2432</v>
      </c>
      <c r="O7" t="n">
        <v>2724</v>
      </c>
      <c r="P7" t="n">
        <v>2272</v>
      </c>
      <c r="Q7" t="n">
        <v>3319</v>
      </c>
      <c r="R7" t="n">
        <v>10747</v>
      </c>
      <c r="S7" t="n">
        <v>-0.02353261857168817</v>
      </c>
      <c r="T7" t="n">
        <v>2887</v>
      </c>
      <c r="U7" t="n">
        <v>0.1870888157894737</v>
      </c>
      <c r="V7" t="n">
        <v>2809</v>
      </c>
      <c r="W7" t="n">
        <v>0.03120411160058737</v>
      </c>
      <c r="X7" t="inlineStr">
        <is>
          <t>品位上升</t>
        </is>
      </c>
      <c r="Y7" t="inlineStr">
        <is>
          <t>12000</t>
        </is>
      </c>
      <c r="AA7" t="n">
        <v>8243</v>
      </c>
      <c r="AB7" t="n">
        <v>8404</v>
      </c>
      <c r="AC7" t="inlineStr">
        <is>
          <t>披露</t>
        </is>
      </c>
    </row>
    <row r="8">
      <c r="A8" t="inlineStr">
        <is>
          <t>PT Timah</t>
        </is>
      </c>
      <c r="B8" t="inlineStr">
        <is>
          <t>印尼</t>
        </is>
      </c>
      <c r="C8" t="inlineStr">
        <is>
          <t>锡矿</t>
        </is>
      </c>
      <c r="D8" t="n">
        <v>4139</v>
      </c>
      <c r="E8" t="n">
        <v>3616</v>
      </c>
      <c r="F8" t="n">
        <v>3446</v>
      </c>
      <c r="G8" t="n">
        <v>3654</v>
      </c>
      <c r="H8" t="n">
        <v>14855</v>
      </c>
      <c r="I8" t="n">
        <v>5360</v>
      </c>
      <c r="J8" t="n">
        <v>4890</v>
      </c>
      <c r="K8" t="n">
        <v>4939</v>
      </c>
      <c r="L8" t="n">
        <v>4248</v>
      </c>
      <c r="M8" t="n">
        <v>19437</v>
      </c>
      <c r="N8" t="n">
        <v>3215</v>
      </c>
      <c r="O8" t="n">
        <v>3782</v>
      </c>
      <c r="P8" t="n">
        <v>5200</v>
      </c>
      <c r="Q8" t="n">
        <v>6438</v>
      </c>
      <c r="R8" t="n">
        <v>18635</v>
      </c>
      <c r="S8" t="n">
        <v>-0.04126151155013634</v>
      </c>
      <c r="T8" t="n">
        <v>6312</v>
      </c>
      <c r="U8" t="n">
        <v>0.9632970451010886</v>
      </c>
      <c r="V8" t="n">
        <v>5920</v>
      </c>
      <c r="W8" t="n">
        <v>0.565309360126917</v>
      </c>
      <c r="X8" t="inlineStr">
        <is>
          <t>恶劣气候影响，矿山整治；26Q2 许可证重新审批延迟致环比-6%/-7%</t>
        </is>
      </c>
      <c r="Y8" t="inlineStr">
        <is>
          <t>20000</t>
        </is>
      </c>
      <c r="AA8" t="n">
        <v>24670</v>
      </c>
      <c r="AB8" t="n">
        <v>20079</v>
      </c>
      <c r="AC8" t="inlineStr">
        <is>
          <t>披露</t>
        </is>
      </c>
    </row>
    <row r="9">
      <c r="A9" t="inlineStr">
        <is>
          <t>Andrada Mining</t>
        </is>
      </c>
      <c r="B9" t="inlineStr">
        <is>
          <t>纳米比亚</t>
        </is>
      </c>
      <c r="C9" t="inlineStr">
        <is>
          <t>锡精矿含锡(Uis)</t>
        </is>
      </c>
      <c r="V9" t="n">
        <v>286</v>
      </c>
      <c r="X9" t="inlineStr">
        <is>
          <t>FY27Q1（止 2026-05-31）Uis 锡精矿含锡量 286 吨（+20% YoY 纪录）；锡精矿产量 473 吨（+16%）；处理量 154tph。注意财年季度 vs 日历季度错 1 个月。源：Andrada Mining RNS（2026-06-29）</t>
        </is>
      </c>
      <c r="Y9" t="inlineStr">
        <is>
          <t>-</t>
        </is>
      </c>
      <c r="Z9" t="inlineStr">
        <is>
          <t>Uis矿：LSE AIM季度运营报告；2026-08-18新增骨架，数据待回填</t>
        </is>
      </c>
      <c r="AC9" t="inlineStr">
        <is>
          <t>待披露（骨架行）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3.8"/>
  <cols>
    <col width="14" customWidth="1" min="1" max="2"/>
    <col width="18" customWidth="1" min="3" max="3"/>
    <col width="14" customWidth="1" min="4" max="25"/>
    <col width="40" customWidth="1" min="26" max="26"/>
    <col width="14" customWidth="1" min="27" max="29"/>
  </cols>
  <sheetData>
    <row r="1">
      <c r="A1" t="inlineStr">
        <is>
          <t>公司</t>
        </is>
      </c>
      <c r="B1" t="inlineStr">
        <is>
          <t>国家</t>
        </is>
      </c>
      <c r="C1" t="inlineStr">
        <is>
          <t>项目/口径</t>
        </is>
      </c>
      <c r="D1" t="inlineStr">
        <is>
          <t>23Q1</t>
        </is>
      </c>
      <c r="E1" t="inlineStr">
        <is>
          <t>23Q2</t>
        </is>
      </c>
      <c r="F1" t="inlineStr">
        <is>
          <t>23Q3</t>
        </is>
      </c>
      <c r="G1" t="inlineStr">
        <is>
          <t>23Q4</t>
        </is>
      </c>
      <c r="H1" t="inlineStr">
        <is>
          <t>23总计</t>
        </is>
      </c>
      <c r="I1" t="inlineStr">
        <is>
          <t>24Q1</t>
        </is>
      </c>
      <c r="J1" t="inlineStr">
        <is>
          <t>24Q2</t>
        </is>
      </c>
      <c r="K1" t="inlineStr">
        <is>
          <t>24Q3</t>
        </is>
      </c>
      <c r="L1" t="inlineStr">
        <is>
          <t>24Q4</t>
        </is>
      </c>
      <c r="M1" t="inlineStr">
        <is>
          <t>24总计</t>
        </is>
      </c>
      <c r="N1" t="inlineStr">
        <is>
          <t>25Q1</t>
        </is>
      </c>
      <c r="O1" t="inlineStr">
        <is>
          <t>25Q2</t>
        </is>
      </c>
      <c r="P1" t="inlineStr">
        <is>
          <t>25Q3</t>
        </is>
      </c>
      <c r="Q1" t="inlineStr">
        <is>
          <t>25Q4</t>
        </is>
      </c>
      <c r="R1" t="inlineStr">
        <is>
          <t>25总计</t>
        </is>
      </c>
      <c r="S1" t="inlineStr">
        <is>
          <t>25同比</t>
        </is>
      </c>
      <c r="T1" t="inlineStr">
        <is>
          <t>26Q1</t>
        </is>
      </c>
      <c r="U1" t="inlineStr">
        <is>
          <t>26Q1同比</t>
        </is>
      </c>
      <c r="V1" t="inlineStr">
        <is>
          <t>26Q2</t>
        </is>
      </c>
      <c r="W1" t="inlineStr">
        <is>
          <t>26Q2同比</t>
        </is>
      </c>
      <c r="X1" t="inlineStr">
        <is>
          <t>变化原因</t>
        </is>
      </c>
      <c r="Y1" t="inlineStr">
        <is>
          <t>FY2026指引</t>
        </is>
      </c>
      <c r="Z1" t="inlineStr">
        <is>
          <t>备注</t>
        </is>
      </c>
      <c r="AA1" t="inlineStr">
        <is>
          <t>2021</t>
        </is>
      </c>
      <c r="AB1" t="inlineStr">
        <is>
          <t>2022</t>
        </is>
      </c>
      <c r="AC1" t="inlineStr">
        <is>
          <t>数据性质</t>
        </is>
      </c>
    </row>
    <row r="2">
      <c r="A2" t="inlineStr">
        <is>
          <t>云南锡业</t>
        </is>
      </c>
      <c r="B2" t="inlineStr">
        <is>
          <t>中国</t>
        </is>
      </c>
      <c r="C2" t="inlineStr">
        <is>
          <t>产品锡</t>
        </is>
      </c>
      <c r="D2" t="n">
        <v>20800</v>
      </c>
      <c r="E2" t="n">
        <v>21600</v>
      </c>
      <c r="F2" t="n">
        <v>16600</v>
      </c>
      <c r="G2" t="n">
        <v>21000</v>
      </c>
      <c r="H2" t="n">
        <v>76919</v>
      </c>
      <c r="I2" t="n">
        <v>22400</v>
      </c>
      <c r="J2" t="n">
        <v>22800</v>
      </c>
      <c r="K2" t="n">
        <v>19000</v>
      </c>
      <c r="L2" t="n">
        <v>20600</v>
      </c>
      <c r="N2" t="n">
        <v>24200</v>
      </c>
      <c r="O2" t="n">
        <v>23900</v>
      </c>
      <c r="P2" t="n">
        <v>19600</v>
      </c>
      <c r="Q2" t="n">
        <v>23500</v>
      </c>
      <c r="R2" t="n">
        <v>91200</v>
      </c>
      <c r="T2" t="n">
        <v>25900</v>
      </c>
      <c r="U2" t="n">
        <v>0.07024793388429752</v>
      </c>
      <c r="V2" t="n">
        <v>25900</v>
      </c>
      <c r="X2" t="inlineStr">
        <is>
          <t>中报（8/21）：H1 产品锡 5.18 万吨（另有铜 6.92/锌 7.23 万吨）；26Q2=H1−Q1=51,800−25,900=25,900 吨（推算注明）。源：云锡 2026 半年报（新浪公告 12507043）</t>
        </is>
      </c>
      <c r="Y2" t="inlineStr">
        <is>
          <t>90000</t>
        </is>
      </c>
      <c r="Z2" t="inlineStr">
        <is>
          <t>季报/中报/三季报累计口径（2023:Q1 2.08万/H1 4.24万/9M 5.90万/FY 8.00万；2024:2.24/4.52/6.42/8.48万；2025:2.42/4.81/6.77/9.12万）。注：Sheet1锭表83478为锡锭78454+锡材5024口径，与产品锡8.48万吨口径不同</t>
        </is>
      </c>
      <c r="AA2" t="n">
        <v>77322</v>
      </c>
      <c r="AB2" t="n">
        <v>72685</v>
      </c>
      <c r="AC2" t="inlineStr">
        <is>
          <t>Q1披露；Q2-Q4=累计相减</t>
        </is>
      </c>
    </row>
    <row r="3">
      <c r="A3" t="inlineStr">
        <is>
          <t>华锡有色</t>
        </is>
      </c>
      <c r="B3" t="inlineStr">
        <is>
          <t>中国</t>
        </is>
      </c>
      <c r="C3" t="inlineStr">
        <is>
          <t>锡锭</t>
        </is>
      </c>
      <c r="D3" t="n">
        <v>1269.34</v>
      </c>
      <c r="E3" t="n">
        <v>1226.46</v>
      </c>
      <c r="F3" t="n">
        <v>2254.38</v>
      </c>
      <c r="G3" t="n">
        <v>2445.68</v>
      </c>
      <c r="H3" t="n">
        <v>7196</v>
      </c>
      <c r="I3" t="n">
        <v>3450.81</v>
      </c>
      <c r="J3" t="n">
        <v>1701.6</v>
      </c>
      <c r="K3" t="n">
        <v>2578.84</v>
      </c>
      <c r="L3" t="n">
        <v>3569.8</v>
      </c>
      <c r="M3" t="n">
        <v>11301</v>
      </c>
      <c r="N3" t="n">
        <v>2909.06</v>
      </c>
      <c r="O3" t="n">
        <v>3237.96</v>
      </c>
      <c r="P3" t="n">
        <v>2750.32</v>
      </c>
      <c r="Q3" t="n">
        <v>2628.25</v>
      </c>
      <c r="R3" t="n">
        <v>11526</v>
      </c>
      <c r="S3" t="n">
        <v>0.01990974250066366</v>
      </c>
      <c r="T3" t="n">
        <v>1828.71</v>
      </c>
      <c r="U3" t="n">
        <v>-0.371374258351495</v>
      </c>
      <c r="V3" t="n">
        <v>3763.84</v>
      </c>
      <c r="X3" t="inlineStr">
        <is>
          <t>2026中报(8/17)：H1锡锭5,592.55吨(-9.02%,委外加工口径)−26Q1 1,828.71=3,763.84（推算）</t>
        </is>
      </c>
      <c r="Z3" t="inlineStr">
        <is>
          <t>锡锭=自产精矿加工+外购原料委托加工；2026Q1同比-37%系外购收缩</t>
        </is>
      </c>
      <c r="AA3" t="n">
        <v>6548</v>
      </c>
      <c r="AB3" t="n">
        <v>7136</v>
      </c>
      <c r="AC3" t="inlineStr">
        <is>
          <t>Q1/Q3披露；Q2/Q4累计推算</t>
        </is>
      </c>
    </row>
    <row r="4">
      <c r="A4" t="inlineStr">
        <is>
          <t>明苏尔</t>
        </is>
      </c>
      <c r="B4" t="inlineStr">
        <is>
          <t>秘鲁</t>
        </is>
      </c>
      <c r="C4" t="inlineStr">
        <is>
          <t>精炼锡(Pisco)</t>
        </is>
      </c>
      <c r="D4" t="n">
        <v>2716</v>
      </c>
      <c r="E4" t="n">
        <v>7223</v>
      </c>
      <c r="F4" t="n">
        <v>7685</v>
      </c>
      <c r="G4" t="n">
        <v>7680</v>
      </c>
      <c r="I4" t="n">
        <v>6388</v>
      </c>
      <c r="J4" t="n">
        <v>7143</v>
      </c>
      <c r="K4" t="n">
        <v>8107</v>
      </c>
      <c r="L4" t="n">
        <v>9288</v>
      </c>
      <c r="M4" t="n">
        <v>30926</v>
      </c>
      <c r="N4" t="n">
        <v>8598</v>
      </c>
      <c r="O4" t="n">
        <v>7089</v>
      </c>
      <c r="P4" t="n">
        <v>8699</v>
      </c>
      <c r="Q4" t="n">
        <v>8596</v>
      </c>
      <c r="R4" t="n">
        <v>32981</v>
      </c>
      <c r="S4" t="n">
        <v>0.06644894263726314</v>
      </c>
      <c r="T4" t="n">
        <v>8314</v>
      </c>
      <c r="U4" t="n">
        <v>-0.03303093742730868</v>
      </c>
      <c r="V4" t="n">
        <v>7034</v>
      </c>
      <c r="X4" t="inlineStr">
        <is>
          <t>2Q26 Pisco 精炼锡 7,034 吨（-1% YoY：入炉品位降低、处理量提升对冲）；H1=15,349 吨（-2%）。源：SMM 锡快讯（2026-08-07，Minsur 2Q26）</t>
        </is>
      </c>
      <c r="Y4" t="inlineStr">
        <is>
          <t>无定量指引</t>
        </is>
      </c>
      <c r="Z4" t="inlineStr">
        <is>
          <t>2023全年25329(单季加总25304,舍入差25);2024=30926;2025=32981</t>
        </is>
      </c>
      <c r="AA4" t="n">
        <v>61</v>
      </c>
      <c r="AB4" t="n">
        <v>55</v>
      </c>
      <c r="AC4" t="inlineStr">
        <is>
          <t>披露</t>
        </is>
      </c>
    </row>
    <row r="5">
      <c r="A5" t="inlineStr">
        <is>
          <t>PT Timah</t>
        </is>
      </c>
      <c r="B5" t="inlineStr">
        <is>
          <t>印尼</t>
        </is>
      </c>
      <c r="C5" t="inlineStr">
        <is>
          <t>精炼锡</t>
        </is>
      </c>
      <c r="D5" t="n">
        <v>3970</v>
      </c>
      <c r="E5" t="n">
        <v>4130</v>
      </c>
      <c r="F5" t="n">
        <v>3440</v>
      </c>
      <c r="G5" t="n">
        <v>3800</v>
      </c>
      <c r="H5" t="n">
        <v>15340</v>
      </c>
      <c r="I5" t="n">
        <v>4475</v>
      </c>
      <c r="J5" t="n">
        <v>5200</v>
      </c>
      <c r="K5" t="n">
        <v>4765</v>
      </c>
      <c r="L5" t="n">
        <v>4475</v>
      </c>
      <c r="M5" t="n">
        <v>18915</v>
      </c>
      <c r="N5" t="n">
        <v>3095</v>
      </c>
      <c r="O5" t="n">
        <v>3775</v>
      </c>
      <c r="P5" t="n">
        <v>3985</v>
      </c>
      <c r="Q5" t="n">
        <v>6960</v>
      </c>
      <c r="R5" t="n">
        <v>17815</v>
      </c>
      <c r="S5" t="n">
        <v>-0.05815490351572826</v>
      </c>
      <c r="T5" t="n">
        <v>5630</v>
      </c>
      <c r="U5" t="n">
        <v>0.8190630048465266</v>
      </c>
      <c r="V5" t="n">
        <v>5235</v>
      </c>
      <c r="W5" t="n">
        <v>0.3867549668874172</v>
      </c>
      <c r="X5" t="inlineStr">
        <is>
          <t>非法采矿(沿海PIP及陆上)侵蚀原料+新矿区社区抵制+天气；26Q1精炼5,630吨(+82%):KIP/PIP作业单位增加、KK Singkep 1挖泥船恢复、Satgas打击非法采矿支持</t>
        </is>
      </c>
      <c r="Y5" t="inlineStr">
        <is>
          <t>2025目标精炼锡21,545吨(实际17,815，达成83%)</t>
        </is>
      </c>
      <c r="AA5" t="n">
        <v>26465</v>
      </c>
      <c r="AB5" t="n">
        <v>19825</v>
      </c>
      <c r="AC5" t="inlineStr">
        <is>
          <t>披露</t>
        </is>
      </c>
    </row>
    <row r="6">
      <c r="A6" t="inlineStr">
        <is>
          <t>MSC</t>
        </is>
      </c>
      <c r="B6" t="inlineStr">
        <is>
          <t>马来西亚</t>
        </is>
      </c>
      <c r="C6" t="inlineStr">
        <is>
          <t>精炼锡</t>
        </is>
      </c>
      <c r="H6" t="n">
        <v>18920</v>
      </c>
      <c r="M6" t="n">
        <v>16540</v>
      </c>
      <c r="R6" t="n">
        <v>14224</v>
      </c>
      <c r="S6" t="n">
        <v>-0.1400241837968561</v>
      </c>
      <c r="V6" t="inlineStr">
        <is>
          <t>-</t>
        </is>
      </c>
      <c r="X6" t="inlineStr">
        <is>
          <t>MSC 2026Q2季报(8/12,Bursa/SGX公告)不披露吨数(仅财务+销量同比口径,常态无产量；华西证券8/20研报佐证)；产能锚点保留</t>
        </is>
      </c>
      <c r="Z6" t="inlineStr">
        <is>
          <t>季报不披露吨数，仅年度（Q4 行 H 列反推）</t>
        </is>
      </c>
      <c r="AA6" t="n">
        <v>16619</v>
      </c>
      <c r="AB6" t="n">
        <v>19385</v>
      </c>
      <c r="AC6" t="inlineStr">
        <is>
          <t>季报不披露吨数，仅年度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3.8"/>
  <sheetData>
    <row r="1">
      <c r="A1" t="inlineStr">
        <is>
          <t>2026-08-25</t>
        </is>
      </c>
      <c r="B1" t="inlineStr">
        <is>
          <t>锡 26Q2 补录：Andrada 286（含锡量，FY27Q1）；Minsur 精炼 7034/矿 SR=7359(B2待拆)；云锡 25,900（H1−Q1 推算）；华锡待拆；兴业待发布</t>
        </is>
      </c>
      <c r="C1" t="inlineStr">
        <is>
          <t>Andrada RNS 6/29；SMM 锡快讯 8/7（Minsur）；云锡中报 8/21；华锡中报 8/18</t>
        </is>
      </c>
    </row>
    <row r="2">
      <c r="A2" t="inlineStr">
        <is>
          <t>2026-08-31</t>
        </is>
      </c>
      <c r="B2" t="inlineStr">
        <is>
          <t>锡 26Q2 中报/季报回填：华锡矿1,939.12+锭3,763.84（H1−Q1推算）；兴业银锡1,981.13（H1 2,758.46−Q1推算）；明苏尔矿9,511（SR 7,359+B2 2,152，SMM/ITA核实）；MSC='-'（季报无吨数）；云锡矿行=未披露（中报仅产品锡口径）</t>
        </is>
      </c>
      <c r="C2" t="inlineStr">
        <is>
          <t>各公司2026中报（巨潮/新浪全文）；SMM Tin Express 8/7；ITA 8/5</t>
        </is>
      </c>
    </row>
    <row r="3">
      <c r="A3" t="inlineStr">
        <is>
          <t>2026-10-14</t>
        </is>
      </c>
      <c r="B3" t="inlineStr">
        <is>
          <t>26Q2复核：云南锡业矿行——2026中报(8/20)全文复核确认未披露锡原矿金属量（仅产品锡H1 5.18万吨，已入精炼锡行），26Q2维持空缺；26Q1空格补齐为"-"</t>
        </is>
      </c>
      <c r="C3" t="inlineStr">
        <is>
          <t>锡业股份2026半年度报告全文（新浪财经/巨潮）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2026-10-14T02:50:15Z</dcterms:modified>
  <cp:lastModifiedBy>Yitian Shen</cp:lastModifiedBy>
</cp:coreProperties>
</file>