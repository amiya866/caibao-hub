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锂资源·季度产量" sheetId="1" state="visible" r:id="rId1"/>
    <sheet xmlns:r="http://schemas.openxmlformats.org/officeDocument/2006/relationships" name="锂盐冶炼·季度产量" sheetId="2" state="visible" r:id="rId2"/>
    <sheet xmlns:r="http://schemas.openxmlformats.org/officeDocument/2006/relationships" name="更新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80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</row>
    <row r="2">
      <c r="A2" t="inlineStr">
        <is>
          <t>Pilbara Minerals</t>
        </is>
      </c>
      <c r="B2" t="inlineStr">
        <is>
          <t>澳大利亚</t>
        </is>
      </c>
      <c r="C2" t="inlineStr">
        <is>
          <t>Pilgangoora(精矿折LCE)</t>
        </is>
      </c>
      <c r="D2" t="n">
        <v>18516.375</v>
      </c>
      <c r="E2" t="n">
        <v>20345.125</v>
      </c>
      <c r="F2" t="n">
        <v>18025</v>
      </c>
      <c r="G2" t="n">
        <v>22000</v>
      </c>
      <c r="H2" t="n">
        <v>78886.5</v>
      </c>
      <c r="I2" t="n">
        <v>22375</v>
      </c>
      <c r="J2" t="n">
        <v>28275</v>
      </c>
      <c r="K2" t="n">
        <v>27512.5</v>
      </c>
      <c r="L2" t="n">
        <v>23525</v>
      </c>
      <c r="M2" t="n">
        <v>101687.5</v>
      </c>
      <c r="N2" t="n">
        <v>15625</v>
      </c>
      <c r="O2" t="n">
        <v>27662.5</v>
      </c>
      <c r="P2" t="n">
        <v>28100</v>
      </c>
      <c r="Q2" t="n">
        <v>26000</v>
      </c>
      <c r="R2" t="n">
        <v>97387.5</v>
      </c>
      <c r="S2" t="inlineStr">
        <is>
          <t>-</t>
        </is>
      </c>
      <c r="T2" t="n">
        <v>29054.5</v>
      </c>
      <c r="U2" t="inlineStr">
        <is>
          <t>-</t>
        </is>
      </c>
      <c r="V2" t="n">
        <v>26787.5</v>
      </c>
      <c r="W2" t="inlineStr">
        <is>
          <t>-</t>
        </is>
      </c>
      <c r="X2" t="inlineStr">
        <is>
          <t>26Q2=FY26Q4 Pilgangoora 精矿 214,300 dmt（季度纪录；销量 249,900 dmt 纪录）×0.125=26,788 吨 LCE；FY26 879,500 吨（+17% 超指引）；P2000 预可研支出获批。源：PLS Q4 FY26 季报（7/29）</t>
        </is>
      </c>
      <c r="Y2" t="inlineStr">
        <is>
          <t>102500-108750吨（FY26精矿指引820-870kt×0.125折LCE；FOB单位成本指引A$560-600/t；源自2025-07-30季报，其后维持不变）</t>
        </is>
      </c>
      <c r="Z2" t="inlineStr">
        <is>
          <t>Pilgangoora 锂辉石精矿产量（干吨 dmt），历史为 Pilgan+Ngungaju 两厂合计；Ngungaju 自2024年12月关停保养（P850模式）后为 Pilgan 单厂。实际产品品位约 SC5.2（公司实现价按 SC5.2 报价、另折 SC6 等价）。data 为折 LCE 吨=精矿吨×0.125（SC6 约定口径）。原始精矿吨：2023Q1=148,131; 2023Q2=162,761; 2023Q3=144,200; 2023Q4=176,000; 2024Q1=179,000; 2024Q2=226,200; 2024Q3=220,100; 2024Q4=188,200; 2025Q1=125,000; 2025Q2=221,300; 2025Q3=224,800; 2025Q4=208,000; 2026Q1=232,436。财年止6月，已映射日历季度（FY Q3=次年日历Q1）。年度值为日历年四个季度合计。 | 2026Q2(FY26Q4) 季报定于2026-07-30发布，截至2026-07-28未发布故为null。2025Q1=125.0kt由官方环比（221.3kt=+77% QoQ）反推并经FY25总量754,600t勾稽验证；2025Q4=208.0kt与公司Dec FY26 presentation及H1中报432.8kt勾稽一致。折LCE系数0.125为平台约定SC6口径，实际品位约5.2% Li2O时真实LCE略低（约×0.108）。</t>
        </is>
      </c>
    </row>
    <row r="3">
      <c r="A3" t="inlineStr">
        <is>
          <t>Mineral Resources</t>
        </is>
      </c>
      <c r="B3" t="inlineStr">
        <is>
          <t>澳大利亚</t>
        </is>
      </c>
      <c r="C3" t="inlineStr">
        <is>
          <t>Wodgina+Mt Marion(100%口径,精矿折LCE)</t>
        </is>
      </c>
      <c r="D3" t="n">
        <v>28750</v>
      </c>
      <c r="E3" t="n">
        <v>27875</v>
      </c>
      <c r="F3" t="n">
        <v>30062.5</v>
      </c>
      <c r="G3" t="n">
        <v>35125</v>
      </c>
      <c r="H3" t="n">
        <v>121812.5</v>
      </c>
      <c r="I3" t="n">
        <v>35000</v>
      </c>
      <c r="J3" t="n">
        <v>38000</v>
      </c>
      <c r="K3" t="n">
        <v>29750</v>
      </c>
      <c r="L3" t="n">
        <v>28000</v>
      </c>
      <c r="M3" t="n">
        <v>130750</v>
      </c>
      <c r="N3" t="n">
        <v>33250</v>
      </c>
      <c r="O3" t="n">
        <v>36250</v>
      </c>
      <c r="P3" t="n">
        <v>40250</v>
      </c>
      <c r="Q3" t="n">
        <v>41500</v>
      </c>
      <c r="R3" t="n">
        <v>151250</v>
      </c>
      <c r="S3" t="inlineStr">
        <is>
          <t>-</t>
        </is>
      </c>
      <c r="T3" t="n">
        <v>39500</v>
      </c>
      <c r="U3" t="inlineStr">
        <is>
          <t>-</t>
        </is>
      </c>
      <c r="V3" t="n">
        <v>22000</v>
      </c>
      <c r="W3" t="inlineStr">
        <is>
          <t>-</t>
        </is>
      </c>
      <c r="X3" t="inlineStr">
        <is>
          <t>26Q2=FY26Q4：Wodgina 94k dmt + Mt Marion 82k dmt（季报口径）×0.125=22,000 吨 LCE；Bald Hill 5 月重启（首批 7 月发运）未计；FY26 锂 559k dmt SC6 全超指引。⚠️26Q1 存量值 39,500 与本口径不合（待核）。源：MinRes Q4 FY26 季报（7/29）</t>
        </is>
      </c>
      <c r="Y3" t="inlineStr">
        <is>
          <t>120000-130000吨（FY26权益指引Wodgina 270-290kt+Mt Marion 210-230kt SC6，×2折100%口径再×0.125折LCE；2026-04-30 Q3FY26季报二次上调，初版2025-10为权益220-240/160-180kt）</t>
        </is>
      </c>
      <c r="Z3" t="inlineStr">
        <is>
          <t>Wodgina + Mt Marion 锂辉石精矿产量合计，100%口径（MinRes季报披露为权益口径：Wodgina 2023-10-18 MARBL重组完成前40%/之后50%，Mt Marion 50%；100%口径=披露表内100%行或权益值÷持股比）。品位注意：Wodgina约5.5-6.1% Li2O（近SC6），Mt Marion为低品位3.6-4.6% Li2O（FY23 3.6-3.9%→FY26 4.5-4.6%，季报另披露SC6等价行），因此按SC6×0.125折LCE会系统性高估Mt Marion真实LCE（实际约×0.075-0.096），使用时需知悉。原始精矿千吨(100%)：Wodgina/Mt Marion 2023Q1=110/120; 2023Q2=103/120; 2023Q3=112.5/128; 2023Q4=115/166; 2024Q1=98/182; 2024Q2=126/178; 2024Q3=102/136; 2024Q4=108/116; 2025Q1=126/140; 2025Q2=166/124; 2025Q3=176/146; 2025Q4=170/162; 2026Q1=156/160。财年止6月，已映射日历季度。年度值为日历年四季合计。 | 2026Q2(FY26Q4)季报截至2026-07-28未发布（预计7月30日前后）故为null。Wodgina 2023Q2(103kt)与2023Q3(112.5kt)由权益值÷40%推算，其余均为季报披露表内100%行或50%权益值的精确2倍；MinRes披露值按1kt取整，推算值±1kt。Mt Marion 2026年5月与赣锋FID A$490M浮选厂+地采扩建（产能500→600ktpa SC6）。</t>
        </is>
      </c>
    </row>
    <row r="4">
      <c r="A4" t="inlineStr">
        <is>
          <t>IGO</t>
        </is>
      </c>
      <c r="B4" t="inlineStr">
        <is>
          <t>澳大利亚</t>
        </is>
      </c>
      <c r="C4" t="inlineStr">
        <is>
          <t>Greenbushes(100%口径,精矿折LCE)</t>
        </is>
      </c>
      <c r="D4" t="n">
        <v>44476.125</v>
      </c>
      <c r="E4" t="n">
        <v>49375</v>
      </c>
      <c r="F4" t="n">
        <v>51712.5</v>
      </c>
      <c r="G4" t="n">
        <v>44750</v>
      </c>
      <c r="H4" t="n">
        <v>190313.625</v>
      </c>
      <c r="I4" t="n">
        <v>35000</v>
      </c>
      <c r="J4" t="n">
        <v>41500</v>
      </c>
      <c r="K4" t="n">
        <v>50750</v>
      </c>
      <c r="L4" t="n">
        <v>49000</v>
      </c>
      <c r="M4" t="n">
        <v>176250</v>
      </c>
      <c r="N4" t="n">
        <v>42625</v>
      </c>
      <c r="O4" t="n">
        <v>42500</v>
      </c>
      <c r="P4" t="n">
        <v>40000</v>
      </c>
      <c r="Q4" t="n">
        <v>44000</v>
      </c>
      <c r="R4" t="n">
        <v>169125</v>
      </c>
      <c r="S4" t="inlineStr">
        <is>
          <t>-</t>
        </is>
      </c>
      <c r="T4" t="n">
        <v>43875</v>
      </c>
      <c r="U4" t="inlineStr">
        <is>
          <t>-</t>
        </is>
      </c>
      <c r="V4" t="n">
        <v>48375</v>
      </c>
      <c r="W4" t="inlineStr">
        <is>
          <t>-</t>
        </is>
      </c>
      <c r="X4" t="inlineStr">
        <is>
          <t>FY23爬产峰值1,491kt；FY24(1,383kt)因锂价暴跌主动控量去库（2024年1月下调指引，2024Q1日历年280kt为低点）；FY25回升至1,479kt；FY26矿石品位结构性下滑（入选品位由2.7%降至~2.0%）叠加天气与CGP3爬产，2026年4月下调指引，2026Q2(387kt,+10%QoQ)恢复，但2026年6月CGP3火灾或造成数周停产。</t>
        </is>
      </c>
      <c r="Y4" t="inlineStr">
        <is>
          <t>171875-178125吨（FY26 Greenbushes指引2026-04-24下调至1,375-1,425kt×0.125折LCE；初版2025-07-30为1,500-1,650kt；现金成本指引上调至A$380-420/t）</t>
        </is>
      </c>
      <c r="Z4" t="inlineStr">
        <is>
          <t>Greenbushes 锂辉石精矿产量，100%口径（IGO通过TLEA持49%×51%≈24.99%权益，季报披露100%数据；含化学级+技术级精矿，化学级占绝大多数）。产品以SC6化学级精矿为主。data为折LCE吨=精矿吨×0.125。原始精矿吨：2023Q1=355,809; 2023Q2=395,000; 2023Q3=413,700; 2023Q4=358,000; 2024Q1=280,000; 2024Q2=332,000; 2024Q3=406,000; 2024Q4=392,000; 2025Q1=341,000; 2025Q2=340,000; 2025Q3=320,000; 2025Q4=352,000; 2026Q1=351,000; 2026Q2=387,000。财年止6月，已映射日历季度。年度值为日历年四季合计。仅资源端（不含Kwinana氢氧化锂）。 | 2026Q2(FY26Q4)=387kt取自2026-07-28当日发布的June 2026 Quarterly Report（Australian Mining当日报道387,000t、环比+10%）。FY23/FY24/FY25财年总量1,491/1,383/1,479kt与季度合计勾稽一致；FY24起IGO按整千吨披露。</t>
        </is>
      </c>
    </row>
    <row r="5">
      <c r="A5" t="inlineStr">
        <is>
          <t>SQM</t>
        </is>
      </c>
      <c r="B5" t="inlineStr">
        <is>
          <t>智利</t>
        </is>
      </c>
      <c r="C5" t="inlineStr">
        <is>
          <t>Atacama(锂盐销量,LCE)</t>
        </is>
      </c>
      <c r="D5" t="n">
        <v>32300</v>
      </c>
      <c r="E5" t="n">
        <v>43100</v>
      </c>
      <c r="F5" t="n">
        <v>43300</v>
      </c>
      <c r="G5" t="n">
        <v>51300</v>
      </c>
      <c r="H5" t="n">
        <v>170000</v>
      </c>
      <c r="I5" t="n">
        <v>43500</v>
      </c>
      <c r="J5" t="n">
        <v>52300</v>
      </c>
      <c r="K5" t="n">
        <v>51200</v>
      </c>
      <c r="L5" t="n">
        <v>58000</v>
      </c>
      <c r="M5" t="n">
        <v>204900</v>
      </c>
      <c r="N5" t="n">
        <v>52300</v>
      </c>
      <c r="O5" t="n">
        <v>51700</v>
      </c>
      <c r="P5" t="n">
        <v>62900</v>
      </c>
      <c r="Q5" t="n">
        <v>66200</v>
      </c>
      <c r="R5" t="n">
        <v>233100</v>
      </c>
      <c r="S5" t="inlineStr">
        <is>
          <t>-</t>
        </is>
      </c>
      <c r="T5" t="n">
        <v>62400</v>
      </c>
      <c r="U5" t="inlineStr">
        <is>
          <t>-</t>
        </is>
      </c>
      <c r="V5" t="n">
        <v>84100</v>
      </c>
      <c r="W5" t="inlineStr">
        <is>
          <t>-</t>
        </is>
      </c>
      <c r="X5" t="inlineStr">
        <is>
          <t>26Q2 锂盐销量纪录 84,100 吨 LCE（+59% YoY / +22% QoQ），SQM Q2 净利 $660M（+646%）。⚠️26Q1 存量 62,400 与新闻口径 ~69,000 不一致（待核）。源：SQM Q2 2026 业绩（8/19-20）</t>
        </is>
      </c>
      <c r="Y5" t="inlineStr">
        <is>
          <t>We expect sales volume to increase over 15% in 2026 compared to 2025（1Q26业绩演示，Nova Andino Litio智利口径，隐含约26.8万吨LCE；较4Q25时的over 10%上调）</t>
        </is>
      </c>
      <c r="Z5" t="inlineStr">
        <is>
          <t>销量口径（SQM 不单独披露锂盐产量），碳酸锂+氢氧化锂合计，吨LCE。取智利 Atacama 口径（2025年起公司拆分为 Nova Andino Litio=智利 LCE + International Lithium=澳洲 Mt Holland 精矿/Kwinana 氢氧化锂），保持历史可比；2023-2024该口径即全公司（澳洲资产2024年销量为0） | 2023Q1(3.23万吨)与2023Q3(4.33万吨)为官方年度/季度锚点勾稽推算值，经民生证券、华西证券报告交叉验证。全公司口径（含澳洲国际部）参考：2025Q1=55,000吨、2025Q2=53,100吨、2025Q3=72,900吨、2026Q1=69,029吨LCE；2025年国际部另售SC6精矿156,400吨+氢氧化锂1,600吨LCE。2026Q2季报未发布（通常8月中下旬）</t>
        </is>
      </c>
    </row>
    <row r="6">
      <c r="A6" t="inlineStr">
        <is>
          <t>Rio Tinto（历史Arcadium）</t>
        </is>
      </c>
      <c r="B6" t="inlineStr">
        <is>
          <t>英/澳</t>
        </is>
      </c>
      <c r="C6" t="inlineStr">
        <is>
          <t>原Arcadium资产(碳酸锂+精矿折LCE)</t>
        </is>
      </c>
      <c r="D6" t="n">
        <v>8965</v>
      </c>
      <c r="E6" t="n">
        <v>12316</v>
      </c>
      <c r="F6" t="n">
        <v>13522</v>
      </c>
      <c r="G6" t="n">
        <v>12868</v>
      </c>
      <c r="H6" t="n">
        <v>47672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n">
        <v>65449.9</v>
      </c>
      <c r="N6" t="n">
        <v>17200</v>
      </c>
      <c r="O6" t="n">
        <v>12200</v>
      </c>
      <c r="P6" t="n">
        <v>12200</v>
      </c>
      <c r="Q6" t="n">
        <v>15000</v>
      </c>
      <c r="R6" t="n">
        <v>57000</v>
      </c>
      <c r="S6" t="inlineStr">
        <is>
          <t>-</t>
        </is>
      </c>
      <c r="T6" t="n">
        <v>12700</v>
      </c>
      <c r="U6" t="inlineStr">
        <is>
          <t>-</t>
        </is>
      </c>
      <c r="V6" t="n">
        <v>14600</v>
      </c>
      <c r="W6" t="inlineStr">
        <is>
          <t>-</t>
        </is>
      </c>
      <c r="X6" t="inlineStr">
        <is>
          <t>2023年Allkem创纪录（Olaroz+27%、Mt Cattlin翻倍）；2024年锂价暴跌下Arcadium削减Mt Cattlin并于Q3决定停产养护；2025年3月Rio完成收购，Mt Cattlin 3月底养护，Q4 Fénix/Olaroz创纪录；2026年增长来自Rincón爬产及Sal de Vida、Fénix 1B提前投产</t>
        </is>
      </c>
      <c r="Y6" t="inlineStr">
        <is>
          <t>61000-64000吨（2026日历年LCE产量指引61-64kt，Rio权益口径，Q2 2026季报确认维持不变）</t>
        </is>
      </c>
      <c r="Z6" t="inlineStr">
        <is>
          <t>2023年=Allkem产量口径（100%项目基准，Olaroz碳酸锂+Mt Cattlin精矿5.3%品位×0.125折LCE，缺Livent/Fénix）；2025-2026年=Rio季报LCE产量、Rio权益份额口径（碳酸锂/氯化锂/精矿推导，垂直一体化分产品不可加总，2026Q1起含Rincón）。2024年Arcadium只披露销量及LCE口径百分比变化，无绝对LCE值 | 2023各季为Allkem单主体口径、缺Livent/Fénix（Livent不披露季度产量；2023年Allkem+Livent合并总销量约6.6万吨LCE，Livent系约2-2.5万吨/年，仅量级参考）。2024年各季未找到LCE绝对值故留null，官方披露组件：Q1碳酸锂+氢氧化锂销量约9,300产品吨+精矿约30,000dmt，Q2约10,800吨+23,500dmt，Q3约8,750吨+32,400dmt，Q4约13,450吨+54,100dmt（精矿5.3-5.4%品位），全年总销量LCE同比略降（约6.0-6.2万吨，推算）。2025Q1=17.2kt为收购交割(3月6日)前全季归属量（与官方年度57kt勾稽一致），Rio季报账面归属仅5.6kt（100%基准全季20.0kt）；2025Q2/Q3的12.2kt为由官方同比/环比百分比反推（两处独立验证一致）。Mt Cattlin 2025年3月底养护后精矿产量为0 | 部分数值为华泰供需底稿口径(2025E含预测)</t>
        </is>
      </c>
    </row>
    <row r="7">
      <c r="A7" t="inlineStr">
        <is>
          <t>Liontown</t>
        </is>
      </c>
      <c r="B7" t="inlineStr">
        <is>
          <t>澳大利亚</t>
        </is>
      </c>
      <c r="C7" t="inlineStr">
        <is>
          <t>Kathleen Valley(精矿折LCE)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3403</v>
      </c>
      <c r="L7" t="n">
        <v>10712</v>
      </c>
      <c r="M7" t="n">
        <v>14115</v>
      </c>
      <c r="N7" t="n">
        <v>11964</v>
      </c>
      <c r="O7" t="n">
        <v>10737</v>
      </c>
      <c r="P7" t="n">
        <v>10897</v>
      </c>
      <c r="Q7" t="n">
        <v>13168</v>
      </c>
      <c r="R7" t="n">
        <v>46764</v>
      </c>
      <c r="S7" t="inlineStr">
        <is>
          <t>-</t>
        </is>
      </c>
      <c r="T7" t="n">
        <v>12046</v>
      </c>
      <c r="U7" t="inlineStr">
        <is>
          <t>-</t>
        </is>
      </c>
      <c r="V7" t="n">
        <v>12888.875</v>
      </c>
      <c r="W7" t="inlineStr">
        <is>
          <t>-</t>
        </is>
      </c>
      <c r="X7" t="inlineStr">
        <is>
          <t>26Q2(FY26Q4)精矿103,111dmt×0.125；FY26全年391,992dmt达标；Q4回收率~63%；FY27指引390-440kdmt</t>
        </is>
      </c>
      <c r="Y7" t="inlineStr">
        <is>
          <t>48750-55000吨（FY27指引390-440kdmt SC6×0.125折LCE；2026-07-28 FY26Q4季报）</t>
        </is>
      </c>
      <c r="Z7" t="inlineStr">
        <is>
          <t>Kathleen Valley锂辉石精矿产量（tonnes produced, dmt干吨）×0.125折LCE。精矿品位SC5.0-5.3（FY25平均5.2%、FY26约5.0-5.1%，低于SC6，真实LCE约再低2-4%）。原始吨数：2024Q3=27,223、2024Q4=85,698、2025Q1=95,709、2025Q2=85,892、2025Q3=87,172、2025Q4=105,342、2026Q1=96,367 | 澳矿财年止6月已映射日历季度（FY Q3=日历Q1等）。2024Q3/Q4采用FY25Q4季报Table 2重述值（当季原报28,171/88,683，后下修约3,934吨）。FY26无产量吨数指引，仅成本指引A$855-1,045/dmt sold(FOB)及运营目标（地下采速2026年3月达1.5Mtpa已实现、FY27底2.8Mtpa稳态、FY26Q4回收率~70%）。2026Q2=FY26Q4季报发布窗口为2026-07-28当日，截至查询未检索到正式公告，留null。财年锚点：FY25=294,521吨@5.2%、H1 FY26=192,514吨@5.0%。2023及2024H1未投产填0</t>
        </is>
      </c>
    </row>
    <row r="8">
      <c r="A8" t="inlineStr">
        <is>
          <t>Sigma Lithium</t>
        </is>
      </c>
      <c r="B8" t="inlineStr">
        <is>
          <t>巴西</t>
        </is>
      </c>
      <c r="C8" t="inlineStr">
        <is>
          <t>Grota do Cirilo(精矿折LCE)</t>
        </is>
      </c>
      <c r="D8" t="n">
        <v>0</v>
      </c>
      <c r="E8" t="inlineStr">
        <is>
          <t>-</t>
        </is>
      </c>
      <c r="F8" t="n">
        <v>4853</v>
      </c>
      <c r="G8" t="n">
        <v>8272</v>
      </c>
      <c r="H8" t="n">
        <v>13125</v>
      </c>
      <c r="I8" t="n">
        <v>6771</v>
      </c>
      <c r="J8" t="n">
        <v>6174</v>
      </c>
      <c r="K8" t="n">
        <v>7530</v>
      </c>
      <c r="L8" t="n">
        <v>9629</v>
      </c>
      <c r="M8" t="n">
        <v>30104</v>
      </c>
      <c r="N8" t="n">
        <v>8539</v>
      </c>
      <c r="O8" t="n">
        <v>8546</v>
      </c>
      <c r="P8" t="n">
        <v>5500</v>
      </c>
      <c r="Q8" t="n">
        <v>0</v>
      </c>
      <c r="R8" t="n">
        <v>22584</v>
      </c>
      <c r="S8" t="inlineStr">
        <is>
          <t>-</t>
        </is>
      </c>
      <c r="T8" t="inlineStr">
        <is>
          <t>已发布待拆</t>
        </is>
      </c>
      <c r="U8" t="inlineStr">
        <is>
          <t>-</t>
        </is>
      </c>
      <c r="V8" t="n">
        <v>4375</v>
      </c>
      <c r="W8" t="inlineStr">
        <is>
          <t>-</t>
        </is>
      </c>
      <c r="X8" t="inlineStr">
        <is>
          <t>1Q26 业绩 2026-05-15 已发（官网，创纪录利润率）；精矿产量吨数待拆 → 暂记。源：Sigma Lithium 1Q26 新闻稿</t>
        </is>
      </c>
      <c r="Y8" t="inlineStr">
        <is>
          <t>30000吨（2026精矿产量指引年化约240kt×0.125折LCE，1Q26新闻稿on track口径）</t>
        </is>
      </c>
      <c r="Z8" t="inlineStr">
        <is>
          <t>Grota do Cirilo锂辉石精矿产量（Quintuple Zero Green Lithium）×0.125折LCE。生产品位约5.5-5.7% Li2O（2023Q3=5.7%），2025年后公司按SC5口径报价，×0.125略有高估（严格按5%品位应×~0.104）。原始吨数：2023Q3=38,823、2023Q4=66,177(推算)、2024Q1=54,168、Q2=49,389、Q3=60,237、Q4=77,034、2025Q1=68,308、Q2=68,368、Q3=43,998、Q4=0、2026Q2=35,000 | 2023Q2=null：2023年4月开始商业化生产、Q2为调试期未披露季度产量（公司口径全年10.5万吨为投产后6个月即全部产自H2）。2023Q4为推算值（=全年105,000-Q3的38,823）。FY2025年度为季度加总（公司年报未给年度产量总数）。2025Q4选厂处理尾矿产3,000吨1-5%品位中间品，非标准精矿未计入。2026Q1产量未找到官方明确数字留null（该季销量23,000吨SC5折当量，矿山1月底复矿处爬产期）。2026Q2=35,000吨来自2026-07-09运营更新（完整2Q26财报2026-08-14发布）</t>
        </is>
      </c>
    </row>
    <row r="9">
      <c r="A9" t="inlineStr">
        <is>
          <t>Core Lithium</t>
        </is>
      </c>
      <c r="B9" t="inlineStr">
        <is>
          <t>澳大利亚</t>
        </is>
      </c>
      <c r="C9" t="inlineStr">
        <is>
          <t>Finniss(精矿折LCE)</t>
        </is>
      </c>
      <c r="D9" t="n">
        <v>449</v>
      </c>
      <c r="E9" t="n">
        <v>1836</v>
      </c>
      <c r="F9" t="n">
        <v>2587</v>
      </c>
      <c r="G9" t="n">
        <v>3605</v>
      </c>
      <c r="H9" t="n">
        <v>8475</v>
      </c>
      <c r="I9" t="n">
        <v>3116</v>
      </c>
      <c r="J9" t="n">
        <v>2570</v>
      </c>
      <c r="K9" t="n">
        <v>0</v>
      </c>
      <c r="L9" t="n">
        <v>0</v>
      </c>
      <c r="M9" t="n">
        <v>5686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-</t>
        </is>
      </c>
      <c r="T9" t="n">
        <v>0</v>
      </c>
      <c r="U9" t="inlineStr">
        <is>
          <t>-</t>
        </is>
      </c>
      <c r="V9" t="n">
        <v>0</v>
      </c>
      <c r="W9" t="inlineStr">
        <is>
          <t>-</t>
        </is>
      </c>
      <c r="X9" t="inlineStr">
        <is>
          <t>Finniss 2023年2月首次产出精矿，2023年逐季爬坡（3.6千→28.8千吨/季）；锂价暴跌后2024年1月5日宣布Grants停采，仅靠处理堆存矿石维持至2024年6月底，随后全面养护；2026年3月FID批准重启（Grants露天先行+BP33地下并行），2026年5月恢复采矿，首批精矿目标2026Q3产出、2026Q4首船发运</t>
        </is>
      </c>
      <c r="Y9" t="inlineStr">
        <is>
          <t>first spodumene concentrate production targeted for the September quarter 2026; BP33 first ore expected in mid-CY2027 and ramp-up to nameplate production of 1.2Mtpa in mid-2028（1.2Mtpa入选量对应精矿产能约214,000吨/年SC6；无FY26产量指引，全年处养护/重启期）</t>
        </is>
      </c>
      <c r="Z9" t="inlineStr">
        <is>
          <t>Finniss锂辉石精矿产量（dmt干吨，产量口径非销量）×0.125折LCE。注意品位低于SC6：FY23为5.35-5.6% Li2O、FY24平均仅约4.8%，×0.125折算存在高估。原始吨数：2023Q1=3,589、Q2=14,685、Q3=20,692、Q4=28,837、2024Q1=24,927、Q2=20,563 | 停产季度（2024Q3-2026Q2）统一填0而非null：公司明确处于养护/重启建设状态无精矿生产。2026Q2(FY26Q4)季报已于2026-07-15发布，确认本季无精矿产量（Grants 5月复工采矿、BP33 6月切石门，矿石9月季度才入选）。2023Q4的28,837吨来自媒体转述季报，但四季合计95,019与官方FY24总量95,020吨勾稽吻合。澳矿财年止6月已映射日历季度。财年锚点：FY23=18,274吨、FY24=95,020吨(销量97,423吨)、FY25=0</t>
        </is>
      </c>
    </row>
    <row r="10">
      <c r="A10" t="inlineStr">
        <is>
          <t>赣锋锂业</t>
        </is>
      </c>
      <c r="B10" t="inlineStr">
        <is>
          <t>中国</t>
        </is>
      </c>
      <c r="C10" t="inlineStr">
        <is>
          <t>Mt Marion/Goulamina/Cauchari/Mariana(LCE)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39300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68900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2026中报(8/28)仅分项目披露(项目口径非权益)：Cauchari碳酸锂1.9万吨/Goulamina精矿23.38万吨/蒙金锂云母精矿4.23万吨；权益合计与Mt Marion未披露</t>
        </is>
      </c>
      <c r="Y10" t="inlineStr">
        <is>
          <t>35000-40000吨（Cauchari-Olaroz 2026计划产碳酸锂3.5-4万吨为100%口径，赣锋权益46.67%；Goulamina 2026计划满产（一期50.6万吨精矿/年）；Mt Marion FY26指引42-46万吨SC6）</t>
        </is>
      </c>
      <c r="Z10" t="inlineStr">
        <is>
          <t>权益口径合计（推算）：①Mt Marion(赣锋50%)：日历年混合品位精矿(约SC4.5)折SC6(×0.718，MRL披露FY26前三季46.8万吨混合=33.6万吨SC6)再×0.125折LCE。日历年产量(100%)：2024=61.2万吨(Q1 18.2万/Q2 17.8万/Q3 13.6万/Q4 11.6万，部分由MRL季报50%口径×2及环比/同比增速反推)；2025=57.2万吨(Q1 14.0/Q2 12.4/Q3 14.6/Q4 16.2万吨，MRL季报)。②Goulamina(现权益65%)：2025年产精矿33.66万吨(干，100%项目口径，赣锋2025年报)×0.125×65%。③Cauchari-Olaroz(46.67%)：碳酸锂2024=2.54万吨、2025=3.41万吨(100%，Lithium Argentina/赣锋年报)×46.67%。Mariana 2025年2月一期2万吨氯化锂投产，爬坡量未披露，未计入。 | 推算值：2024/2025为各项目权益量加总，Marion部分季度由MRL披露的50%口径×2及同比/环比增速反推，SC6折算比例0.718为FY26前三季实际值；2023年留null——Cauchari 2023年产碳酸锂约6,000吨(100%，Lithium Argentina)，Mt Marion FY23(2022/7-2023/6)产精矿23.4万吨(50%权益口径，MRL)，日历年逐季未完整核实故不汇总。2026Q1：Mt Marion产精矿16.0万吨(100%，由FY26前三季46.8万-Q3'25 14.6万-Q4'25 16.2万推得)，Cauchari/Goulamina季度未获，不汇总。2026Q2：MRL季报( FY26Q4 )预计7月底发布，截至7/28未发布。｜2026Q2分项目(项目口径，权益合计因Goulamina无季度拆分仍不汇总)：Mt Marion产精矿82k dmt(50%权益基准，100%≈16.4万吨，回收率59%，MRL Q4FY26季报7/29)；Cauchari产碳酸锂9,280吨(LAR Q2季报8/11，与赣锋中报H1=1.9万吨一致)；Goulamina H1=23.38万吨精矿(中报)无季度拆分(2026-10-14补)</t>
        </is>
      </c>
    </row>
    <row r="11">
      <c r="A11" t="inlineStr">
        <is>
          <t>中矿资源</t>
        </is>
      </c>
      <c r="B11" t="inlineStr">
        <is>
          <t>中国</t>
        </is>
      </c>
      <c r="C11" t="inlineStr">
        <is>
          <t>Bikita+Tanco(精矿折LCE)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14000</v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40000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45000</v>
      </c>
      <c r="S11" t="inlineStr">
        <is>
          <t>-</t>
        </is>
      </c>
      <c r="T11" t="n">
        <v>16875</v>
      </c>
      <c r="U11" t="inlineStr">
        <is>
          <t>-</t>
        </is>
      </c>
      <c r="V11" t="n">
        <v>16875</v>
      </c>
      <c r="W11" t="inlineStr">
        <is>
          <t>-</t>
        </is>
      </c>
      <c r="X11" t="inlineStr">
        <is>
          <t>中报业绩交流会(8/25,巨潮披露)：H1锂精矿约30万吨(辉石21+透锂长石9,精矿原值未折LCE,未按Bikita/Tanco分拆)</t>
        </is>
      </c>
      <c r="Y11" t="inlineStr">
        <is>
          <t>未找到2026年产量指引；产能口径：Bikita锂辉石精矿30万吨/年+化学级透锂长石精矿30万吨/年，Tanco现有18万吨/年锂辉石采选(100万吨/年选厂推进中)</t>
        </is>
      </c>
      <c r="Z11" t="inlineStr">
        <is>
          <t>2023年=Bikita透锂长石精矿12万吨(折LCE约1万吨，公司口径12万吨透锂长石≈1万吨LCE)+加拿大Tanco锂辉石精矿3.2万吨(折LCE约4,000吨)，合计约1.4万吨LCE（源自2023年12月公司投资者交流纪要口径）。锂辉石精矿按SC6×0.125折LCE；透锂长石精矿品位较低(约4%)，按公司口径×0.083折。Bikita、Tanco均100%权益。 | 2024年：全年实际产量未找到公司披露——2024H1投入原料为Bikita锂辉石精矿14万吨+化学级透锂长石9万吨+技术级透锂长石1.5万吨+Tanco锂辉石2万吨(2024年业绩说明会，系H1累计投料口径非产量)；2024年初指引两矿各产30万吨。2025年：全年未找到披露——2025年前三季度Bikita产锂辉石精矿25.6万吨(Q3单季8.1万吨，中证报等引公司口径)。2026Q1未披露。2023年数值源自投资者交流纪要(雪球整理)，与公司历次公开口径一致但非公告原文，精度有限。 | 部分数值为华泰供需底稿口径(2025E含预测)；H1精矿约30万吨(辉石21×0.125=26,250+透锂长石9万×1/12=7,500)折LCE≈33,750（中报累计相减/折算推算），Q1未披露，两季平分拟合</t>
        </is>
      </c>
    </row>
    <row r="12">
      <c r="A12" t="inlineStr">
        <is>
          <t>华友钴业</t>
        </is>
      </c>
      <c r="B12" t="inlineStr">
        <is>
          <t>中国</t>
        </is>
      </c>
      <c r="C12" t="inlineStr">
        <is>
          <t>Arcadia(精矿折LCE)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n">
        <v>10000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n">
        <v>50000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n">
        <v>45000</v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2026中报(8/19)未披露Arcadia精矿量(津巴布韦2/25起禁精矿出口转本地加工)；披露碳酸锂出货量3.05万吨(+17%,销量口径含硫酸锂转化)</t>
        </is>
      </c>
      <c r="Y12" t="inlineStr">
        <is>
          <t>未找到2026年精矿产量指引；公司2026年碳酸锂总产量目标存在(业绩说明会提及，未给绝对值)</t>
        </is>
      </c>
      <c r="Z12" t="inlineStr">
        <is>
          <t>津巴布韦Arcadia锂精矿出货量(华友全资，100%权益)：2024年约40万吨×0.125(SC6折LCE)=50,000吨LCE。注意为出货量口径(年报披露口径)，非生产量。 | 2023年：年报未直接披露出货量——按2024年40万吨、同比+41%反推约28.4万吨(仅作参考，不入data)。2025年：2025年报未找到锂精矿产量/出货量披露(仅披露碳酸锂出货量5.44万吨、同比+38.58%，属冶炼端；Arcadia资源量由150万吨LCE增至245万吨、品位1.34%)。2026Q1未披露精矿量。 | 部分数值为华泰供需底稿口径(2025E含预测)</t>
        </is>
      </c>
    </row>
    <row r="13">
      <c r="A13" t="inlineStr">
        <is>
          <t>盛新锂能</t>
        </is>
      </c>
      <c r="B13" t="inlineStr">
        <is>
          <t>中国</t>
        </is>
      </c>
      <c r="C13" t="inlineStr">
        <is>
          <t>萨比星+业隆沟(精矿折LCE)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n">
        <v>21625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35750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n">
        <v>37475</v>
      </c>
      <c r="S13" t="inlineStr">
        <is>
          <t>-</t>
        </is>
      </c>
      <c r="T13" t="n">
        <v>9725</v>
      </c>
      <c r="U13" t="inlineStr">
        <is>
          <t>-</t>
        </is>
      </c>
      <c r="V13" t="n">
        <v>9725</v>
      </c>
      <c r="W13" t="inlineStr">
        <is>
          <t>-</t>
        </is>
      </c>
      <c r="X13" t="inlineStr">
        <is>
          <t>2026中报(8/24)：H1下属子公司锂精矿合计15.56万吨×0.125=19,450吨LCE（推算）</t>
        </is>
      </c>
      <c r="Y13" t="inlineStr">
        <is>
          <t>未给2026年产量指引；产能口径(2026-07互动平台)：萨比星年产锂精矿约29万吨、业隆沟约7.5万吨</t>
        </is>
      </c>
      <c r="Z13" t="inlineStr">
        <is>
          <t>年报口径「下属子公司锂精矿产量合计」(未按权益折算的并表项目产量)：2023=17.3万吨、2024=28.60万吨、2025=29.98万吨，统一×0.125(SC6)折LCE。构成：津巴布韦萨比星(原矿Li2O约1.98%，精矿产能约20万吨/年)+四川业隆沟(奥伊诺，约7.5万吨/年)；2023年萨比星5月投产当年产约10万吨。 | 2023年17.3万吨源自2023年度业绩说明会(其中萨比星约10万吨)；2024/2025为年报披露值。2026Q1：一季报未披露精矿产量，留null。折算系数0.125为统一口径，萨比星精矿实际品位约5.5-6%。；2026中报H1精矿15.56万吨×0.125=19,450吨LCE（折算推算），Q1未披露，两季平分拟合</t>
        </is>
      </c>
    </row>
    <row r="14">
      <c r="A14" t="inlineStr">
        <is>
          <t>雅化集团</t>
        </is>
      </c>
      <c r="B14" t="inlineStr">
        <is>
          <t>中国</t>
        </is>
      </c>
      <c r="C14" t="inlineStr">
        <is>
          <t>卡玛蒂维+李家沟(精矿折LCE)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n">
        <v>3750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n">
        <v>39000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2026中报(8/25)无产销量绝对值(仅定性销量增长+锂业务营收49.28亿+179%)；产能锚点:锂盐近13万吨/年、卡玛蒂维精矿35万吨/年</t>
        </is>
      </c>
      <c r="Y14" t="inlineStr">
        <is>
          <t>无2026年产量数字指引；产能口径：卡玛蒂维35万吨精矿/年(2025H2已达产)+李家沟18-20万吨精矿/年(已达产)；津巴布韦硫酸锂工厂预计2027年建成</t>
        </is>
      </c>
      <c r="Z14" t="inlineStr">
        <is>
          <t>公司未披露锂精矿产量绝对值(年报仅披露产能与投产进度)。产能口径：卡玛蒂维(津巴布韦KMC，雅化控股)年处理原矿230万吨、年产锂精矿约35万吨(折LCE约3万吨)；李家沟(四川能投锂业，雅化持股37.25%并享优先供应权)年产105万吨采选、锂精矿约18-20万吨。 | 未找到官方产量数据：2023年卡玛蒂维尚在建设(首批约5,000吨精矿2024年1月启运回国)；2024/2025年公司仅披露投产/达产进度未披露吨数。券商估计(民生证券2025三季报点评)：2025年卡玛蒂维运回国内精矿约20万吨+、对应约3万吨LCE、权益约2万吨——系卖方估计非公司披露，仅供参考未入data。李家沟为参股矿(37.25%)，产量归属能投锂业，雅化按优先供应权获取精矿。2026Q1未披露。 | 部分数值为华泰供需底稿口径(2025E含预测)</t>
        </is>
      </c>
    </row>
    <row r="15">
      <c r="A15" t="inlineStr">
        <is>
          <t>紫金矿业</t>
        </is>
      </c>
      <c r="B15" t="inlineStr">
        <is>
          <t>中国</t>
        </is>
      </c>
      <c r="C15" t="inlineStr">
        <is>
          <t>3Q+拉果错+湘源(LCE)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n">
        <v>3000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n">
        <v>261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n">
        <v>25500</v>
      </c>
      <c r="S15" t="inlineStr">
        <is>
          <t>-</t>
        </is>
      </c>
      <c r="T15" t="n">
        <v>16200</v>
      </c>
      <c r="U15" t="inlineStr">
        <is>
          <t>-</t>
        </is>
      </c>
      <c r="V15" t="n">
        <v>27800</v>
      </c>
      <c r="W15" t="inlineStr">
        <is>
          <t>-</t>
        </is>
      </c>
      <c r="X15" t="inlineStr">
        <is>
          <t>紫金中报（8/21）：H1 当量碳酸锂 4.4 万吨；26Q2=H1−Q1=44,000−16,200=27,800 吨（推算，注明）。源：紫金矿业 2026 半年报</t>
        </is>
      </c>
      <c r="Y15" t="inlineStr">
        <is>
          <t>2026年当量碳酸锂产量目标12万吨（2025年度业绩预增公告及业绩说明会）</t>
        </is>
      </c>
      <c r="Z15" t="inlineStr">
        <is>
          <t>当量碳酸锂（LCE），公司年报直接披露口径，无需折算。2025年含藏格矿业5-12月并表产量（紫金2025年5月起并表藏格）。 | 2023年0.3万吨为公司三年规划指标达成值（媒体引述公司披露）；2024年261吨来自2025年度业绩预增公告对比口径；2026Q1来自中国能源网报道（2026年一季报口径）。季度拆分未披露，仅2026Q1有值。</t>
        </is>
      </c>
    </row>
    <row r="16">
      <c r="A16" t="inlineStr">
        <is>
          <t>盐湖股份</t>
        </is>
      </c>
      <c r="B16" t="inlineStr">
        <is>
          <t>中国</t>
        </is>
      </c>
      <c r="C16" t="inlineStr">
        <is>
          <t>察尔汗(蓝科,碳酸锂)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36000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n">
        <v>40000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46500</v>
      </c>
      <c r="S16" t="inlineStr">
        <is>
          <t>-</t>
        </is>
      </c>
      <c r="T16" t="n">
        <v>24700</v>
      </c>
      <c r="U16" t="inlineStr">
        <is>
          <t>-</t>
        </is>
      </c>
      <c r="V16" t="n">
        <v>24700</v>
      </c>
      <c r="W16" t="inlineStr">
        <is>
          <t>-</t>
        </is>
      </c>
      <c r="X16" t="inlineStr">
        <is>
          <t>2026中报(8/25)：H1碳酸锂产量4.94万吨(公司合计口径,含2026年1月起并表的五矿盐湖,未单拆蓝科)</t>
        </is>
      </c>
      <c r="Y16" t="inlineStr">
        <is>
          <t>-</t>
        </is>
      </c>
      <c r="Z16" t="inlineStr">
        <is>
          <t>碳酸锂实物量（即LCE），察尔汗盐湖。2023/2024年为控股子公司蓝科锂业（持股51.42%）装置100%口径；2025年4.65万吨为股份公司年报口径（蓝科4万吨+新建4万吨/年锂盐一体化项目2025年9月底投运后产出）。 | 2023年约3.6万吨（由2024年4万吨、同比+10.92%反推约3.61万吨，取3.6万吨，公司曾预计2023年产3.6万吨）。2025年前三季度产量3.16万吨（三季报/互动平台）。2026H1碳酸锂产量约4.94万吨（鑫椤资讯，实为H1累计，未填入data）。未找到2026年产量指引原文。；2026中报H1碳酸锂4.94万吨（含五矿盐湖并表），Q1未披露，两季平分拟合</t>
        </is>
      </c>
    </row>
    <row r="17">
      <c r="A17" t="inlineStr">
        <is>
          <t>藏格矿业</t>
        </is>
      </c>
      <c r="B17" t="inlineStr">
        <is>
          <t>中国</t>
        </is>
      </c>
      <c r="C17" t="inlineStr">
        <is>
          <t>察尔汗(碳酸锂)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12100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n">
        <v>11566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8808</v>
      </c>
      <c r="S17" t="inlineStr">
        <is>
          <t>-</t>
        </is>
      </c>
      <c r="T17" t="n">
        <v>2700</v>
      </c>
      <c r="U17" t="inlineStr">
        <is>
          <t>-</t>
        </is>
      </c>
      <c r="V17" t="n">
        <v>2700</v>
      </c>
      <c r="W17" t="inlineStr">
        <is>
          <t>-</t>
        </is>
      </c>
      <c r="X17" t="inlineStr">
        <is>
          <t>2026中报(8/20)：H1碳酸锂产量5,400吨(上年同期5,170吨)；含税均价16.49万/吨</t>
        </is>
      </c>
      <c r="Y17" t="inlineStr">
        <is>
          <t>20000-25000吨（麻米错2026年计划产碳酸锂约2-2.5万吨，2026年3月投资者关系记录，非正式指引；察尔汗6000吨/年提锂扩能推进中；麻米错力争2026下半年投产）</t>
        </is>
      </c>
      <c r="Z17" t="inlineStr">
        <is>
          <t>碳酸锂实物量（即LCE），察尔汗盐湖藏格锂业（1万吨/年产能，超产运行）。注：藏格矿业2025年5月起并入紫金矿业合并报表，此处为藏格自身披露口径。 | 2023年产量为约数：年报口径约1.21万吨（超额完成1.2万吨目标），未获取到精确吨数。2024年11,566吨（同比-4.1%，销量13,582吨）。2025年8,808吨（销量8,957吨，2025年报摘要）。；2026中报H1碳酸锂5,400吨，Q1未披露，两季平分拟合</t>
        </is>
      </c>
    </row>
    <row r="18">
      <c r="A18" t="inlineStr">
        <is>
          <t>西藏矿业</t>
        </is>
      </c>
      <c r="B18" t="inlineStr">
        <is>
          <t>中国</t>
        </is>
      </c>
      <c r="C18" t="inlineStr">
        <is>
          <t>扎布耶(LCE)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n">
        <v>971.67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n">
        <v>635.41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n">
        <v>1077.44</v>
      </c>
      <c r="S18" t="inlineStr">
        <is>
          <t>-</t>
        </is>
      </c>
      <c r="T18" t="n">
        <v>1131.85</v>
      </c>
      <c r="U18" t="inlineStr">
        <is>
          <t>-</t>
        </is>
      </c>
      <c r="V18" t="n">
        <v>1131.85</v>
      </c>
      <c r="W18" t="inlineStr">
        <is>
          <t>-</t>
        </is>
      </c>
      <c r="X18" t="inlineStr">
        <is>
          <t>2026中报(8/21)：一期锂精矿H1=0(太阳池工艺季节因素,预计下半年产出)；二期碳酸锂2,263.7吨(互动平台口径,爬坡期,设计1.2万吨/年)</t>
        </is>
      </c>
      <c r="Y18" t="inlineStr">
        <is>
          <t>12000吨（扎布耶二期满产目标1.2万吨/年=电池级9600+工业级2400，产能口径非产量指引，2025业绩说明会）</t>
        </is>
      </c>
      <c r="Z18" t="inlineStr">
        <is>
          <t>扎布耶盐湖。原始披露：2023年锂精矿7,773.35吨；2024年锂精矿5,083.27吨；2025年锂精矿3,367.47吨+碳酸锂656.51吨。注意：扎布耶锂精矿为太阳池结晶的碳酸锂精矿（品位远高于锂辉石SC6），此处按任务统一规则将锂精矿×0.125折LCE（2023=7,773.35×0.125；2024=5,083.27×0.125；2025=3,367.47×0.125+碳酸锂656.51直接计入），折算值显著低估实际LCE，原值已列明。 | 2023/2024年报中的“锂盐生产量”经公司董秘确认均为锂精矿口径。2025年数据来自股吧转述2025年报（锂精矿3,367.47吨、碳酸锂656.51吨、氯化钾13,346吨），建议复核年报原文。万吨项目原计划2024年6月投产，实际延至2025年9月。；2026中报：一期锂精矿H1=0+二期碳酸锂2,263.7吨，Q1未披露，两季平分拟合</t>
        </is>
      </c>
    </row>
    <row r="19">
      <c r="A19" t="inlineStr">
        <is>
          <t>融捷股份</t>
        </is>
      </c>
      <c r="B19" t="inlineStr">
        <is>
          <t>中国</t>
        </is>
      </c>
      <c r="C19" t="inlineStr">
        <is>
          <t>甲基卡134#(精矿折LCE)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n">
        <v>8112.5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8437.5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n">
        <v>23200</v>
      </c>
      <c r="S19" t="inlineStr">
        <is>
          <t>-</t>
        </is>
      </c>
      <c r="T19" t="n">
        <v>9131.25</v>
      </c>
      <c r="U19" t="inlineStr">
        <is>
          <t>-</t>
        </is>
      </c>
      <c r="V19" t="n">
        <v>9131.25</v>
      </c>
      <c r="W19" t="inlineStr">
        <is>
          <t>-</t>
        </is>
      </c>
      <c r="X19" t="inlineStr">
        <is>
          <t>2026中报(8/17)：H1锂精矿14.61万吨(自产+委托加工合计,+108.8%;Q2单季8.67万吨)×0.125=18,262.5吨LCE（推算）</t>
        </is>
      </c>
      <c r="Y19" t="inlineStr">
        <is>
          <t>无明确产量指引；2026经营计划推进矿山原址新增35万吨/年选矿产能及250万吨/年扩产选址，250万吨项目投产后预计年产锂精矿约47万吨（2025年报）</t>
        </is>
      </c>
      <c r="Z19" t="inlineStr">
        <is>
          <t>甲基卡134号脉锂辉石精矿（6%品位，SC6），按×0.125折LCE。原始吨数：2023年6.49万吨（同比+18.01%）；2024年6.75万吨（+4.07%）；2025年18.56万吨（+174.83%，含原矿外运委托选矿产出11.53万吨）。折算：64,900×0.125=8,112.5；67,500×0.125=8,437.5；185,600×0.125=23,200吨LCE。 | 精矿基本全部供应联营锂盐厂成都融捷锂业（2万吨/年锂盐产能，2025年满产）。2026Q1未披露精矿产量（仅业绩：营收3.76亿元+295.77%）。2025年采矿量/剥岩量等见年报。；2026中报H1精矿14.61万吨×0.125=18,262.5吨LCE（折算推算），Q1未披露，两季平分拟合</t>
        </is>
      </c>
    </row>
    <row r="20">
      <c r="A20" t="inlineStr">
        <is>
          <t>永兴材料</t>
        </is>
      </c>
      <c r="B20" t="inlineStr">
        <is>
          <t>中国</t>
        </is>
      </c>
      <c r="C20" t="inlineStr">
        <is>
          <t>化山瓷石矿(碳酸锂)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n">
        <v>27100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n">
        <v>26000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24823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2026中报(8/25)未披露碳酸锂吨数(碳酸锂收入19.57亿+163.59%,毛利率53.56%;券商测算勿入)</t>
        </is>
      </c>
      <c r="Y20" t="inlineStr">
        <is>
          <t>-</t>
        </is>
      </c>
      <c r="Z20" t="inlineStr">
        <is>
          <t>碳酸锂实物量（即LCE），宜丰县花桥乡白市化山瓷石矿（锂云母）采选冶一体化，产能3万吨/年。 | 2024年产量为约数（年报口径产/销量均约2.60万吨；由2025年24,823吨、同比-4.7%反推约26,047吨）。2023年2.71万吨为公司互动平台答复。化山瓷石矿采矿证规模已由300万吨/年变更为900万吨/年，拟与天华并矿，远期产能规划扩至5万吨/年（券商预计，非公司指引）。2026Q1产量未披露（一季报未给产量数）。</t>
        </is>
      </c>
    </row>
    <row r="21">
      <c r="A21" t="inlineStr">
        <is>
          <t>江特电机</t>
        </is>
      </c>
      <c r="B21" t="inlineStr">
        <is>
          <t>中国</t>
        </is>
      </c>
      <c r="C21" t="inlineStr">
        <is>
          <t>宜春云母(LCE)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2026中报(8/25)仅定性'锂盐产品产销量下降'(锂板块收入4.33亿,毛利率-3.71%);茜坑矿未投产,原料外购</t>
        </is>
      </c>
      <c r="Y21" t="inlineStr">
        <is>
          <t>-</t>
        </is>
      </c>
      <c r="Z21" t="inlineStr">
        <is>
          <t>宜春锂云母（茜坑等矿区，资源量超1亿吨）+银锂新能源锂盐厂（4条碳酸锂产线，产能3万吨/年，矿石全部外购）。年报未披露碳酸锂/锂精矿具体产量数字。 | 未找到：2023/2024/2025年报及中报均未披露碳酸锂或锂云母精矿的具体产量吨数（仅披露锂矿采选及锂盐制造业务收入/毛利率），故各期间留null。仅有产能锚点：碳酸锂产能3万吨/年（另有口径称4.5万吨），持有/控制锂矿资源量超1亿吨。</t>
        </is>
      </c>
    </row>
    <row r="22">
      <c r="A22" t="inlineStr">
        <is>
          <t>Lithium Argentina</t>
        </is>
      </c>
      <c r="B22" t="inlineStr">
        <is>
          <t>阿根廷</t>
        </is>
      </c>
      <c r="C22" t="inlineStr">
        <is>
          <t>Cauchari-Olaroz(44.8%权益)+Pastos Grandes（吨LCE）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>
        <f>IF(AND(ISNUMBER(R22),ISNUMBER(M22),M22&lt;&gt;0),(R22-M22)/M22,"-")</f>
        <v/>
      </c>
      <c r="T22" t="inlineStr">
        <is>
          <t>-</t>
        </is>
      </c>
      <c r="U22">
        <f>IF(AND(ISNUMBER(T22),ISNUMBER(N22),N22&lt;&gt;0),(T22-N22)/N22,"-")</f>
        <v/>
      </c>
      <c r="V22" t="n">
        <v>4157</v>
      </c>
      <c r="W22">
        <f>IF(AND(ISNUMBER(V22),ISNUMBER(O22),O22&lt;&gt;0),(V22-O22)/O22,"-")</f>
        <v/>
      </c>
      <c r="X22" t="inlineStr">
        <is>
          <t>26Q2 Cauchari-Olaroz 碳酸锂 9,280 吨（5 月计划检修后恢复近设计产能）×44.8% 权益=4,157 吨（推算注明）；Stage 2 +45ktpa 扩建推进。源：Lithium Argentina Q2 2026 业绩（8/11）</t>
        </is>
      </c>
      <c r="Z22" t="inlineStr">
        <is>
          <t>季报（TSX/NYSE）；⚠与赣锋资源行Cauchari推算重叠，勿相加；2026-08-18新增骨架行，数据待回填</t>
        </is>
      </c>
    </row>
    <row r="23">
      <c r="A23" t="inlineStr">
        <is>
          <t>Elevra Lithium</t>
        </is>
      </c>
      <c r="B23" t="inlineStr">
        <is>
          <t>澳大利亚</t>
        </is>
      </c>
      <c r="C23" t="inlineStr">
        <is>
          <t>NAL+Authier/Moblan（SC6×0.125折LCE）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>
        <f>IF(AND(ISNUMBER(R23),ISNUMBER(M23),M23&lt;&gt;0),(R23-M23)/M23,"-")</f>
        <v/>
      </c>
      <c r="T23" t="n">
        <v>5922</v>
      </c>
      <c r="U23">
        <f>IF(AND(ISNUMBER(T23),ISNUMBER(N23),N23&lt;&gt;0),(T23-N23)/N23,"-")</f>
        <v/>
      </c>
      <c r="V23" t="n">
        <v>6810</v>
      </c>
      <c r="W23">
        <f>IF(AND(ISNUMBER(V23),ISNUMBER(O23),O23&lt;&gt;0),(V23-O23)/O23,"-")</f>
        <v/>
      </c>
      <c r="X23" t="inlineStr">
        <is>
          <t>26Q2（6 月季）NAL 精矿 54,479 dmt（+15% QoQ，5 月单月纪录 22,202t）×0.125=6,810 吨 LCE；26Q1 推算 5,922（=54,479/1.15×0.125）；FY26 197,968t。源：Elevra 6 月季报（7/28 ASX/ABN）</t>
        </is>
      </c>
      <c r="Z23" t="inlineStr">
        <is>
          <t>Sayona+Piedmont 2025合并而来（ASX/TSX）；历史序列回填注意主体变更；2026-08-18新增骨架行，数据待回填</t>
        </is>
      </c>
    </row>
    <row r="24">
      <c r="A24" t="inlineStr">
        <is>
          <t>AMG Critical Materials</t>
        </is>
      </c>
      <c r="B24" t="inlineStr">
        <is>
          <t>荷兰</t>
        </is>
      </c>
      <c r="C24" t="inlineStr">
        <is>
          <t>巴西Mibra锂精矿+欧洲氢氧化锂（折LCE）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>
        <f>IF(AND(ISNUMBER(R24),ISNUMBER(M24),M24&lt;&gt;0),(R24-M24)/M24,"-")</f>
        <v/>
      </c>
      <c r="T24" t="inlineStr">
        <is>
          <t>-</t>
        </is>
      </c>
      <c r="U24">
        <f>IF(AND(ISNUMBER(T24),ISNUMBER(N24),N24&lt;&gt;0),(T24-N24)/N24,"-")</f>
        <v/>
      </c>
      <c r="V24" t="inlineStr">
        <is>
          <t>未找到</t>
        </is>
      </c>
      <c r="W24">
        <f>IF(AND(ISNUMBER(V24),ISNUMBER(O24),O24&lt;&gt;0),(V24-O24)/O24,"-")</f>
        <v/>
      </c>
      <c r="X24" t="inlineStr">
        <is>
          <t>AMG Q2 2026 已发布但 Mibra 锂精矿分季产量未在公开快讯披露（分部口径）→ 未找到，待财报全文核。源：AMG Critical Materials Q2 2026</t>
        </is>
      </c>
      <c r="Z24" t="inlineStr">
        <is>
          <t>季报（EUR口径）；精矿按SC6×0.125折算，原值备注；2026-08-18新增骨架行，数据待回填</t>
        </is>
      </c>
    </row>
    <row r="25">
      <c r="A25" t="inlineStr">
        <is>
          <t>Eramet</t>
        </is>
      </c>
      <c r="B25" t="inlineStr">
        <is>
          <t>法国</t>
        </is>
      </c>
      <c r="C25" t="inlineStr">
        <is>
          <t>阿根廷Centenario（直接提锂，碳酸锂吨）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>
        <f>IF(AND(ISNUMBER(R25),ISNUMBER(M25),M25&lt;&gt;0),(R25-M25)/M25,"-")</f>
        <v/>
      </c>
      <c r="T25" t="n">
        <v>4220</v>
      </c>
      <c r="U25">
        <f>IF(AND(ISNUMBER(T25),ISNUMBER(N25),N25&lt;&gt;0),(T25-N25)/N25,"-")</f>
        <v/>
      </c>
      <c r="V25" t="n">
        <v>4220</v>
      </c>
      <c r="W25">
        <f>IF(AND(ISNUMBER(V25),ISNUMBER(O25),O25&lt;&gt;0),(V25-O25)/O25,"-")</f>
        <v/>
      </c>
      <c r="X25" t="inlineStr">
        <is>
          <t>Centenario H1 2026 碳酸锂 8,440 吨 LCE（销量 8,320）；Q2 平均达产 85%、后续 90%。半年口径。源：Eramet H1 2026（7/29）/Econosur</t>
        </is>
      </c>
      <c r="Z25" t="inlineStr">
        <is>
          <t>跨品种修正：已在镍目录（SLN/Weda Bay）；锂行仅Centenario，2024投产爬坡；2026-08-18新增骨架行，数据待回填；Centenario 2026H1碳酸锂8,440吨LCE，Q1未披露，两季平分拟合</t>
        </is>
      </c>
    </row>
    <row r="26">
      <c r="A26" t="inlineStr">
        <is>
          <t>总计</t>
        </is>
      </c>
      <c r="B26" t="inlineStr">
        <is>
          <t>-</t>
        </is>
      </c>
      <c r="C26" t="inlineStr">
        <is>
          <t>口径混杂仅供参考</t>
        </is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  <c r="H26">
        <f>SUM(H2:H25)</f>
        <v/>
      </c>
      <c r="I26">
        <f>SUM(I2:I25)</f>
        <v/>
      </c>
      <c r="J26">
        <f>SUM(J2:J25)</f>
        <v/>
      </c>
      <c r="K26">
        <f>SUM(K2:K25)</f>
        <v/>
      </c>
      <c r="L26">
        <f>SUM(L2:L25)</f>
        <v/>
      </c>
      <c r="M26">
        <f>SUM(M2:M25)</f>
        <v/>
      </c>
      <c r="N26">
        <f>SUM(N2:N25)</f>
        <v/>
      </c>
      <c r="O26">
        <f>SUM(O2:O25)</f>
        <v/>
      </c>
      <c r="P26">
        <f>SUM(P2:P25)</f>
        <v/>
      </c>
      <c r="Q26">
        <f>SUM(Q2:Q25)</f>
        <v/>
      </c>
      <c r="R26">
        <f>SUM(R2:R25)</f>
        <v/>
      </c>
      <c r="S26">
        <f>SUM(S2:S25)</f>
        <v/>
      </c>
      <c r="T26">
        <f>SUM(T2:T25)</f>
        <v/>
      </c>
      <c r="U26">
        <f>SUM(U2:U25)</f>
        <v/>
      </c>
      <c r="V26">
        <f>SUM(V2:V25)</f>
        <v/>
      </c>
      <c r="W26">
        <f>SUM(W2:W25)</f>
        <v/>
      </c>
    </row>
    <row r="28">
      <c r="A28" t="inlineStr">
        <is>
          <t>注:单位=吨LCE;锂辉石精矿按SC6×0.125折LCE(备注注明精矿原值);澳矿财年止6月已做日历映射;多数中企仅年报/中报披露,季度列为空属正常(平台自动拟合,斜体)。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80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</row>
    <row r="2">
      <c r="A2" t="inlineStr">
        <is>
          <t>赣锋锂业</t>
        </is>
      </c>
      <c r="B2" t="inlineStr">
        <is>
          <t>中国</t>
        </is>
      </c>
      <c r="C2" t="inlineStr">
        <is>
          <t>锂盐(碳酸锂+氢氧化锂)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n">
        <v>104300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130300</v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n">
        <v>182400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2026中报(8/28)未披露合并锂盐产量折LCE(仅分基地设计产能+'量价齐升'定性)</t>
        </is>
      </c>
      <c r="Y2" t="inlineStr">
        <is>
          <t>-</t>
        </is>
      </c>
      <c r="Z2" t="inlineStr">
        <is>
          <t>公司披露口径为锂产品产量折LCE（碳酸锂当量，万吨LCE），非碳酸锂+氢氧化锂实物吨；LCE与实物量接近但含氯化锂等折算，未再折算。2025=18.24万吨LCE(年报,同比+40.05%)；2024=13.03万吨LCE(年报,同比+24.94%)；2023=按2024年报同比+24.94%反推约10.43万吨LCE(推算值) | 2023年为推算值（由2024年报同比+24.94%反推）；2024/2025为年报披露值。公司规划2030年左右实现不低于60万吨锂产品设计产能。季度值未披露（A股仅年报口径）</t>
        </is>
      </c>
    </row>
    <row r="3">
      <c r="A3" t="inlineStr">
        <is>
          <t>天齐锂业</t>
        </is>
      </c>
      <c r="B3" t="inlineStr">
        <is>
          <t>中国</t>
        </is>
      </c>
      <c r="C3" t="inlineStr">
        <is>
          <t>锂盐(碳酸锂+氢氧化锂)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n">
        <v>50700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n">
        <v>70700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n">
        <v>87900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2026中报(8/27)未披露锂化合物及衍生品产量(仅定性销量上升,建成产能12.26万吨/年)；泰利森H1精矿73.8万吨为项目口径,勿入本行</t>
        </is>
      </c>
      <c r="Y3" t="inlineStr">
        <is>
          <t>-</t>
        </is>
      </c>
      <c r="Z3" t="inlineStr">
        <is>
          <t>锂化合物及衍生品产量（碳酸锂+氢氧化锂+金属锂+氯化锂等，实物吨，含射洪/安居/重庆/张家港/奎纳纳TLK六基地，奎纳纳为与IGO合资TLEA(51%)旗下TLK）；2025=约8.79万吨(年报,同比+24.35%)；2024=约7.07万吨(年报,同比+39.44%)；2023=约5.07万吨(五矿证券据公司公告，亦可由2024同比反推5.07万吨) | 2023年值为五矿证券《拒绝停产》报告据公司公告整理；2024/2025为年报披露约数。2025年报：已建成锂化工产品产能12.16万吨/年，奎纳纳一期目标运行效率约50%铭牌产能。季度值未披露</t>
        </is>
      </c>
    </row>
    <row r="4">
      <c r="A4" t="inlineStr">
        <is>
          <t>雅化集团</t>
        </is>
      </c>
      <c r="B4" t="inlineStr">
        <is>
          <t>中国</t>
        </is>
      </c>
      <c r="C4" t="inlineStr">
        <is>
          <t>锂盐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n">
        <v>31300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n">
        <v>48324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n">
        <v>68615.25999999999</v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2026中报(8/25)锂产品生产量未披露(同资源行)</t>
        </is>
      </c>
      <c r="Y4" t="inlineStr">
        <is>
          <t>-</t>
        </is>
      </c>
      <c r="Z4" t="inlineStr">
        <is>
          <t>锂产品（电池级氢氧化锂+电池级碳酸锂+磷酸锂等）生产量，实物吨，年报实物量表口径（雅安锂业/国理公司/兴晟锂业三基地）；2025=68,615.26吨、销量69,493.81吨(年报,产量同比+41.99%)；2024=48,324吨(年报,同比+54.58%)；2023=约3.13万吨(五矿证券据公告；由2024同比+54.58%反推31,261吨一致) | 2025年报实物量表精确值（产量68,615.26吨/销量69,493.81吨）。2025年末锂盐综合产能近13万吨；李家沟105万吨采选2025年9月达产（18-20万吨精矿/年），卡玛蒂维35万吨精矿/年达产。券商预计2026年出货约10万吨（非公司指引）</t>
        </is>
      </c>
    </row>
    <row r="5">
      <c r="A5" t="inlineStr">
        <is>
          <t>盛新锂能</t>
        </is>
      </c>
      <c r="B5" t="inlineStr">
        <is>
          <t>中国</t>
        </is>
      </c>
      <c r="C5" t="inlineStr">
        <is>
          <t>锂盐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n">
        <v>56700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n">
        <v>67600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n">
        <v>77500</v>
      </c>
      <c r="S5" t="inlineStr">
        <is>
          <t>-</t>
        </is>
      </c>
      <c r="T5" t="n">
        <v>28250</v>
      </c>
      <c r="U5" t="inlineStr">
        <is>
          <t>-</t>
        </is>
      </c>
      <c r="V5" t="n">
        <v>28250</v>
      </c>
      <c r="W5" t="inlineStr">
        <is>
          <t>-</t>
        </is>
      </c>
      <c r="X5" t="inlineStr">
        <is>
          <t>2026中报(8/24)：H1锂产品产量5.65万吨(+68.63%;锂盐+金属锂口径,含印尼盛拓放量)；销量5.88万吨</t>
        </is>
      </c>
      <c r="Y5" t="inlineStr">
        <is>
          <t>-</t>
        </is>
      </c>
      <c r="Z5" t="inlineStr">
        <is>
          <t>锂产品（锂盐，碳酸锂+氢氧化锂为主）产量，实物吨，年报口径（致远锂业/遂宁盛新/盛新科技/印尼盛拓等基地）；2025=7.75万吨(年报,同比+14.58%)；2024=6.76万吨(年报,同比+19.20%)；2023=5.67万吨(2023年报,同比+19.0%) | 三年均为年报披露值（2023/2025经年报点评及媒体转述年报原文核验）。2025年锂精矿自供产量29.98万吨；津巴布韦萨比星矿约占2026年锂盐原料需求1/3。季度值未披露；2026中报H1锂产品5.65万吨(+68.63%)，Q1未披露，两季平分拟合</t>
        </is>
      </c>
    </row>
    <row r="6">
      <c r="A6" t="inlineStr">
        <is>
          <t>中矿资源</t>
        </is>
      </c>
      <c r="B6" t="inlineStr">
        <is>
          <t>中国</t>
        </is>
      </c>
      <c r="C6" t="inlineStr">
        <is>
          <t>锂盐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18400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n">
        <v>43732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n">
        <v>37400</v>
      </c>
      <c r="S6" t="inlineStr">
        <is>
          <t>-</t>
        </is>
      </c>
      <c r="T6" t="n">
        <v>12500</v>
      </c>
      <c r="U6" t="inlineStr">
        <is>
          <t>-</t>
        </is>
      </c>
      <c r="V6" t="n">
        <v>12500</v>
      </c>
      <c r="W6" t="inlineStr">
        <is>
          <t>-</t>
        </is>
      </c>
      <c r="X6" t="inlineStr">
        <is>
          <t>中报业绩会(8/25)：H1锂盐合计约2.5万吨(电池级碳酸锂约2万+氢氧化锂/氟化锂约0.5万)；6/30-7/11两条产线检修已复产</t>
        </is>
      </c>
      <c r="Y6" t="inlineStr">
        <is>
          <t>-</t>
        </is>
      </c>
      <c r="Z6" t="inlineStr">
        <is>
          <t>锂盐（电池级碳酸锂/氢氧化锂/氟化锂等，江西东鹏+中矿锂业基地）生产量，实物吨；2024=43,732吨(2024年报,同比+138%)；2025=3.74万吨(2025年报,同比-14.46%)；2023=约1.84万吨(五矿证券据公告；由2024同比+138%反推18,375吨一致) | 2023年为五矿证券整理值（与同比反推一致）；2024/2025为年报披露值。现有6.6万吨/年锂盐产能，春鹏锂业3.5万吨高纯锂盐项目建成后合计418万吨/年锂精矿+7.1万吨/年电池级锂盐产能。季度值未披露；中报业绩会H1锂盐约2.5万吨，Q1未披露，两季平分拟合</t>
        </is>
      </c>
    </row>
    <row r="7">
      <c r="A7" t="inlineStr">
        <is>
          <t>天华新能</t>
        </is>
      </c>
      <c r="B7" t="inlineStr">
        <is>
          <t>中国</t>
        </is>
      </c>
      <c r="C7" t="inlineStr">
        <is>
          <t>锂盐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67700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105100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n">
        <v>106900</v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2026中报(8/18)产销量表为金额口径(非吨数);H1锂电材料收入73.16亿,毛利率43.84%</t>
        </is>
      </c>
      <c r="Y7" t="inlineStr">
        <is>
          <t>无明确产量指引；规划锂盐产能择机扩至25-26万吨/年（现有16.5万吨/年，2025-12公告）；四川天华时代二期6万吨电池级碳酸锂项目2026年2月开建</t>
        </is>
      </c>
      <c r="Z7" t="inlineStr">
        <is>
          <t>锂盐实物量合计（电池级氢氧化锂+电池级碳酸锂，吨），港股招股书口径（华源证券引用）：氢氧化锂2023/2024/2025=6.64/9.41/5.95万吨，碳酸锂=0.13/1.10/4.74万吨，合计6.77/10.51/10.69万吨；含宜宾天宜锂业（与宁德时代合资，天华持股68%）、眉山四川天华、宜春奉新时代三基地 | 注意口径：五矿证券据A股公告整理的2023/2024产量为4.23/7.18万吨（与港股招股书口径差异较大，或因披露范围/代工口径不同），本行采用港股招股书（华源证券2026-06首次覆盖引用）的基地全口径实物量。天宜锂业为宁德时代参股合资（宁德时代直接持股25%），未按权益折算</t>
        </is>
      </c>
    </row>
    <row r="8">
      <c r="A8" t="inlineStr">
        <is>
          <t>永兴材料</t>
        </is>
      </c>
      <c r="B8" t="inlineStr">
        <is>
          <t>中国</t>
        </is>
      </c>
      <c r="C8" t="inlineStr">
        <is>
          <t>碳酸锂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27100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n">
        <v>26000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24823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2026中报(8/25)未披露(同资源行)</t>
        </is>
      </c>
      <c r="Y8" t="inlineStr">
        <is>
          <t>-</t>
        </is>
      </c>
      <c r="Z8" t="inlineStr">
        <is>
          <t>碳酸锂产量（吨，云母提锂，化山瓷石矿-永诚锂业-永兴新能源一体化）；2023=2.71万吨(公司互动易披露)；2024=2.60万吨(2024年报，产销量均约2.60万吨)；2025=24,823吨(2025年报,同比-4.7%，销量25,051吨) | 2023为互动易官方口径；2024为年报口径（年报点评引用）；2025为年报精确值（鑫椤资讯引2025年报）。此处为冶炼端碳酸锂产品口径，与资源端同矿（化山瓷石矿70%权益）</t>
        </is>
      </c>
    </row>
    <row r="9">
      <c r="A9" t="inlineStr">
        <is>
          <t>江特电机</t>
        </is>
      </c>
      <c r="B9" t="inlineStr">
        <is>
          <t>中国</t>
        </is>
      </c>
      <c r="C9" t="inlineStr">
        <is>
          <t>锂盐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n">
        <v>15485.23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n">
        <v>13610.03</v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2026中报(8/25)未披露(同资源行;2025年报锂盐生产量13,610吨为最近锚点)</t>
        </is>
      </c>
      <c r="Y9" t="inlineStr">
        <is>
          <t>2025年报经营计划：银锂新能源全面恢复产线运转，争取云母产线适时点火、逐步实现全线满产；茜坑锂矿力争年内出矿</t>
        </is>
      </c>
      <c r="Z9" t="inlineStr">
        <is>
          <t>锂矿采选及锂盐制造业生产量（吨，年报实物量表口径，主要为碳酸锂，宜春银锂云母/辉石两条线）；2025=13,610.03吨、销量13,764.08吨(年报,同比-12.11%)；2024=15,485.23吨、销量15,778.23吨 | 2023年生产量未找到精确值（2023年报锂矿采选及锂盐制造业销售量约0.9万吨，据雪球引2023年报；2023年碳酸锂收入16.45亿元）。2024/2025为2025年报实物量表精确值。公司另有约3万吨碳酸锂产能（云母1.5万+辉石1.5万）</t>
        </is>
      </c>
    </row>
    <row r="10">
      <c r="A10" t="inlineStr">
        <is>
          <t>融捷股份</t>
        </is>
      </c>
      <c r="B10" t="inlineStr">
        <is>
          <t>中国</t>
        </is>
      </c>
      <c r="C10" t="inlineStr">
        <is>
          <t>锂盐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20000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2026中报(8/17)联营成都融捷锂业仅披露H1净利4.40亿+'产销量大幅增长'定性,无吨数(公司精矿98.97%售往该联营厂)</t>
        </is>
      </c>
      <c r="Y10" t="inlineStr">
        <is>
          <t>-</t>
        </is>
      </c>
      <c r="Z10" t="inlineStr">
        <is>
          <t>联营企业成都融捷锂业（融捷股份参股40%）锂盐产量（电池级锂盐，吨），产能2万吨/年（规划4万吨/年）；2025年报称因甲基卡矿产出大幅提升，保障联营锂盐厂锂盐产量达到满产，按满产≈2万吨计（精确吨数未披露） | 2025=满产估算值（2万吨/年产能，年报原文'锂盐产量达到满产'），非精确披露值；2023/2024未找到（未找到联营锂盐厂精确产量）。另：融捷股份合并范围内自有锂盐（3,000吨/年电池级碳酸锂精加工）产量2025=736.61吨、2024=1,181.94吨（2025年报实物量表）。成都融捷锂业为联营不并表，未按40%权益折算</t>
        </is>
      </c>
    </row>
    <row r="11">
      <c r="A11" t="inlineStr">
        <is>
          <t>总计</t>
        </is>
      </c>
      <c r="B11" t="inlineStr">
        <is>
          <t>-</t>
        </is>
      </c>
      <c r="C11" t="inlineStr">
        <is>
          <t>口径混杂仅供参考</t>
        </is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  <c r="I11">
        <f>SUM(I2:I10)</f>
        <v/>
      </c>
      <c r="J11">
        <f>SUM(J2:J10)</f>
        <v/>
      </c>
      <c r="K11">
        <f>SUM(K2:K10)</f>
        <v/>
      </c>
      <c r="L11">
        <f>SUM(L2:L10)</f>
        <v/>
      </c>
      <c r="M11">
        <f>SUM(M2:M10)</f>
        <v/>
      </c>
      <c r="N11">
        <f>SUM(N2:N10)</f>
        <v/>
      </c>
      <c r="O11">
        <f>SUM(O2:O10)</f>
        <v/>
      </c>
      <c r="P11">
        <f>SUM(P2:P10)</f>
        <v/>
      </c>
      <c r="Q11">
        <f>SUM(Q2:Q10)</f>
        <v/>
      </c>
      <c r="R11">
        <f>SUM(R2:R10)</f>
        <v/>
      </c>
      <c r="S11">
        <f>SUM(S2:S10)</f>
        <v/>
      </c>
      <c r="T11">
        <f>SUM(T2:T10)</f>
        <v/>
      </c>
      <c r="U11">
        <f>SUM(U2:U10)</f>
        <v/>
      </c>
      <c r="V11">
        <f>SUM(V2:V10)</f>
        <v/>
      </c>
      <c r="W11">
        <f>SUM(W2:W10)</f>
        <v/>
      </c>
    </row>
    <row r="13">
      <c r="A13" t="inlineStr">
        <is>
          <t>注:单位=吨(锂盐实物量,碳酸锂+氢氧化锂合计);A股多数仅年报/中报披露产量,季度列为空属正常(平台自动拟合,斜体)。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  <col width="60" customWidth="1" min="3" max="3"/>
  </cols>
  <sheetData>
    <row r="1">
      <c r="A1" t="inlineStr">
        <is>
          <t>日期</t>
        </is>
      </c>
      <c r="B1" t="inlineStr">
        <is>
          <t>更新内容</t>
        </is>
      </c>
      <c r="C1" t="inlineStr">
        <is>
          <t>数据来源</t>
        </is>
      </c>
    </row>
    <row r="2">
      <c r="A2" t="inlineStr">
        <is>
          <t>2026-07-27</t>
        </is>
      </c>
      <c r="B2" t="inlineStr">
        <is>
          <t>首次建表:锂资源板块20家(海外8+中资12)+锂盐冶炼板块9家,2023Q1起建序列;基准参考:华泰碳酸锂供需平衡(锂全球供给2507/海外供应成本底稿季度)+资源平衡.xlsx;Pilbara/Cauchari季度值转录自华泰底稿,其余联网核查官方披露</t>
        </is>
      </c>
      <c r="C2" t="inlineStr">
        <is>
          <t>华泰碳酸锂供需平衡1231、资源平衡.xlsx、各公司季报/年报(2026-07-27核查)</t>
        </is>
      </c>
    </row>
    <row r="3">
      <c r="A3" t="inlineStr">
        <is>
          <t>2026-07-28</t>
        </is>
      </c>
      <c r="B3" t="inlineStr">
        <is>
          <t>首次数据填充：资源20家+冶炼9家，2023-2026Q2；官方季报/年报为主，华泰底稿补缺口；中企多数仅年度披露（季度由平台自动拟合）</t>
        </is>
      </c>
      <c r="C3" t="inlineStr">
        <is>
          <t>各公司季报/年报/公告；华泰碳酸锂供需平衡1231.xlsx</t>
        </is>
      </c>
    </row>
    <row r="4">
      <c r="A4" t="inlineStr">
        <is>
          <t>2026-07-29</t>
        </is>
      </c>
      <c r="B4" t="inlineStr">
        <is>
          <t>Liontown 26Q2(FY26Q4)精矿103,111dmt(销108,489),FY26全年391,992dmt达标,FY27指引390-440kdmt</t>
        </is>
      </c>
      <c r="C4" t="inlineStr">
        <is>
          <t>Liontown FY26Q4季报ASX(7/28)</t>
        </is>
      </c>
    </row>
    <row r="5">
      <c r="A5" t="inlineStr">
        <is>
          <t>2026-08-18</t>
        </is>
      </c>
      <c r="B5" t="inlineStr">
        <is>
          <t>新增骨架行4家：Lithium Argentina/Elevra/AMG（优先新增）+Eramet Centenario（跨品种修正，原仅镍目录）；数据列占位待回填</t>
        </is>
      </c>
      <c r="C5" t="inlineStr">
        <is>
          <t>审计建议（16家优先新增+8个跨品种归类修正，2026-08-18）</t>
        </is>
      </c>
    </row>
    <row r="6">
      <c r="A6" t="inlineStr">
        <is>
          <t>2026-08-18</t>
        </is>
      </c>
      <c r="B6" t="inlineStr">
        <is>
          <t>命名修正：Rio Tinto行改标「Rio Tinto（历史Arcadium）」，避免与退市Arcadium重复计列（审计建议）</t>
        </is>
      </c>
      <c r="C6" t="inlineStr">
        <is>
          <t>审计建议（2026-08-18）</t>
        </is>
      </c>
    </row>
    <row r="7">
      <c r="A7" t="inlineStr">
        <is>
          <t>2026-08-24</t>
        </is>
      </c>
      <c r="B7" t="inlineStr">
        <is>
          <t>锂 26Q2 欠账补录：PLS 26,788 / MinRes 22,000 / SQM 84,100（销量纪录）/ Lithium Argentina 4,157（权益推算）/ Elevra 6,810 / 紫金 27,800（推算）；Sigma 待拆；AMG 未找到；Eramet Centenario H1=8440</t>
        </is>
      </c>
      <c r="C7" t="inlineStr">
        <is>
          <t>PLS/MinRes Q4FY26 季报（7/29）；SQM Q2（8/19）；LAR Q2（8/11）；Elevra 6 月季（7/28）；Eramet H1（7/29）；紫金中报（8/21）</t>
        </is>
      </c>
    </row>
    <row r="8">
      <c r="A8" t="inlineStr">
        <is>
          <t>2026-08-31</t>
        </is>
      </c>
      <c r="B8" t="inlineStr">
        <is>
          <t>锂 26Q2 中报回填：可入库=盛新(资源H1=19450折算/冶炼H1=56500)、中矿(精矿约30万吨原值/锂盐H1=25000)、盐湖H1=49400、藏格H1=5400、西藏矿业H1=2263.7(一期0+二期碳酸锂)、融捷H1=18262.5折算；未披露=赣锋/天齐/雅化/天华/永兴/江特/华友(均中报原文+转载核实无吨数)</t>
        </is>
      </c>
      <c r="C8" t="inlineStr">
        <is>
          <t>各公司2026中报(巨潮/新浪全文)+中矿8/25业绩交流会纪要(巨潮)</t>
        </is>
      </c>
    </row>
    <row r="9">
      <c r="A9" t="inlineStr">
        <is>
          <t>2026-10-14</t>
        </is>
      </c>
      <c r="B9" t="inlineStr">
        <is>
          <t>26Q2复核：锂资源/冶炼11行中报核查结论(8月批次)复核成立——永兴/雅化/赣锋/天齐抽查一致（中报均无产量吨数）；赣锋资源行备注补Mt Marion 26Q2=82k dmt(50%基准,MRL 7/29)+Cauchari 9,280吨(LAR 8/11)项目口径值，权益合计因Goulamina无季度拆分仍不汇总</t>
        </is>
      </c>
      <c r="C9" t="inlineStr">
        <is>
          <t>MRL Q4FY26 Quarterly Activity Report；Lithium Argentina Q2 2026 Results；各公司2026中报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2026-07-27T02:24:17Z</dcterms:created>
  <dcterms:modified xmlns:dcterms="http://purl.org/dc/terms/" xmlns:xsi="http://www.w3.org/2001/XMLSchema-instance" xsi:type="dcterms:W3CDTF">2026-10-14T02:50:16Z</dcterms:modified>
</cp:coreProperties>
</file>