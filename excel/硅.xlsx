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业硅·季度产量" sheetId="1" state="visible" r:id="rId1"/>
    <sheet xmlns:r="http://schemas.openxmlformats.org/officeDocument/2006/relationships" name="多晶硅·季度产量" sheetId="2" state="visible" r:id="rId2"/>
    <sheet xmlns:r="http://schemas.openxmlformats.org/officeDocument/2006/relationships" name="更新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2" customWidth="1" min="3" max="3"/>
    <col width="40" customWidth="1" min="24" max="24"/>
    <col width="46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t="inlineStr">
        <is>
          <t>26Q3</t>
        </is>
      </c>
      <c r="Y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t="inlineStr">
        <is>
          <t>合盛硅业</t>
        </is>
      </c>
      <c r="B2" t="inlineStr">
        <is>
          <t>中国</t>
        </is>
      </c>
      <c r="C2" t="inlineStr">
        <is>
          <t>合盛硅业(603260)·工业硅（鄯善/石河子等，122 万吨/年全球第一）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187.14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n">
        <v>145.47</v>
      </c>
      <c r="S2">
        <f>IF(AND(ISNUMBER(R2),ISNUMBER(M2),M2&lt;&gt;0),(R2-M2)/M2,"-")</f>
        <v/>
      </c>
      <c r="T2" t="n">
        <v>39.67</v>
      </c>
      <c r="U2">
        <f>IF(AND(ISNUMBER(T2),ISNUMBER(N2),N2&lt;&gt;0),(T2-N2)/N2,"-")</f>
        <v/>
      </c>
      <c r="V2" t="n">
        <v>41.07</v>
      </c>
      <c r="W2">
        <f>IF(AND(ISNUMBER(V2),ISNUMBER(O2),O2&lt;&gt;0),(V2-O2)/O2,"-")</f>
        <v/>
      </c>
      <c r="X2" t="inlineStr">
        <is>
          <t>待发布(预计2026-10月末经营数据公告)</t>
        </is>
      </c>
      <c r="Y2">
        <f>IF(AND(ISNUMBER(X2),ISNUMBER(P2),P2&lt;&gt;0),(X2-P2)/P2,"-")</f>
        <v/>
      </c>
      <c r="Z2" t="inlineStr">
        <is>
          <t>2025 主动减产挺价（-22.3%）；2026Q1 检修压产、毛利率回升至 19%；26Q2 季度经营数据公告约 8 月底披露（截至 2026-08-23 未发布）</t>
        </is>
      </c>
      <c r="AA2" t="inlineStr">
        <is>
          <t>无</t>
        </is>
      </c>
      <c r="AB2" t="inlineStr">
        <is>
          <t>季度经营数据公告产量口径（含自用，与年报口径或有差异）；24/25 年度=年报值，季度值平台拟合（斜体）；26Q1=39.67 万吨为 2026-04-30 季度经营数据公告实际值；2023 年度及各季待回填；26Q2 待 2026 半年报/季度经营数据公告披露（约 8 月底）；2026Q2经营数据公告(8/25)：工业硅生产量410,686.71吨=41.07万吨（单季口径，销量30.20万吨）</t>
        </is>
      </c>
    </row>
    <row r="3">
      <c r="A3" t="inlineStr">
        <is>
          <t>新安股份</t>
        </is>
      </c>
      <c r="B3" t="inlineStr">
        <is>
          <t>中国</t>
        </is>
      </c>
      <c r="C3" t="inlineStr">
        <is>
          <t>新安股份(600596)·工业硅（有机硅一体化配套）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>
        <f>IF(AND(ISNUMBER(R3),ISNUMBER(M3),M3&lt;&gt;0),(R3-M3)/M3,"-")</f>
        <v/>
      </c>
      <c r="T3" t="inlineStr">
        <is>
          <t>-</t>
        </is>
      </c>
      <c r="U3">
        <f>IF(AND(ISNUMBER(T3),ISNUMBER(N3),N3&lt;&gt;0),(T3-N3)/N3,"-")</f>
        <v/>
      </c>
      <c r="V3" t="inlineStr">
        <is>
          <t>-</t>
        </is>
      </c>
      <c r="W3">
        <f>IF(AND(ISNUMBER(V3),ISNUMBER(O3),O3&lt;&gt;0),(V3-O3)/O3,"-")</f>
        <v/>
      </c>
      <c r="X3" t="inlineStr">
        <is>
          <t>待发布(预计2026-10月末；中报未披露工业硅产量)</t>
        </is>
      </c>
      <c r="Y3">
        <f>IF(AND(ISNUMBER(X3),ISNUMBER(P3),P3&lt;&gt;0),(X3-P3)/P3,"-")</f>
        <v/>
      </c>
      <c r="Z3" t="inlineStr">
        <is>
          <t>2026中报(8/24)未披露工业硅产量；经营数据公告仅有机硅基础产品Q2产71,818吨(非工业硅口径)</t>
        </is>
      </c>
      <c r="AA3" t="inlineStr">
        <is>
          <t>无</t>
        </is>
      </c>
      <c r="AB3" t="inlineStr">
        <is>
          <t>产量序列待回填（年报/中报口径）；'-'=待核，勿当零</t>
        </is>
      </c>
    </row>
    <row r="4">
      <c r="A4" t="inlineStr">
        <is>
          <t>兴发集团</t>
        </is>
      </c>
      <c r="B4" t="inlineStr">
        <is>
          <t>中国</t>
        </is>
      </c>
      <c r="C4" t="inlineStr">
        <is>
          <t>兴发集团(600141)·工业硅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>
        <f>IF(AND(ISNUMBER(R4),ISNUMBER(M4),M4&lt;&gt;0),(R4-M4)/M4,"-")</f>
        <v/>
      </c>
      <c r="T4" t="inlineStr">
        <is>
          <t>-</t>
        </is>
      </c>
      <c r="U4">
        <f>IF(AND(ISNUMBER(T4),ISNUMBER(N4),N4&lt;&gt;0),(T4-N4)/N4,"-")</f>
        <v/>
      </c>
      <c r="V4" t="inlineStr">
        <is>
          <t>-</t>
        </is>
      </c>
      <c r="W4">
        <f>IF(AND(ISNUMBER(V4),ISNUMBER(O4),O4&lt;&gt;0),(V4-O4)/O4,"-")</f>
        <v/>
      </c>
      <c r="X4" t="inlineStr">
        <is>
          <t>待发布(预计2026-10月末；中报未披露工业硅产量)</t>
        </is>
      </c>
      <c r="Y4">
        <f>IF(AND(ISNUMBER(X4),ISNUMBER(P4),P4&lt;&gt;0),(X4-P4)/P4,"-")</f>
        <v/>
      </c>
      <c r="Z4" t="inlineStr">
        <is>
          <t>2026中报(8/24)未披露工业硅产量(金属硅为外购原料,H1均价8,101.61元/吨)；有机硅系列H1产17.31万吨(非工业硅)</t>
        </is>
      </c>
      <c r="AA4" t="inlineStr">
        <is>
          <t>无</t>
        </is>
      </c>
      <c r="AB4" t="inlineStr">
        <is>
          <t>产量序列待回填（年报/中报口径）；'-'=待核，勿当零</t>
        </is>
      </c>
    </row>
    <row r="5">
      <c r="A5" t="inlineStr">
        <is>
          <t>东岳硅材</t>
        </is>
      </c>
      <c r="B5" t="inlineStr">
        <is>
          <t>中国</t>
        </is>
      </c>
      <c r="C5" t="inlineStr">
        <is>
          <t>东岳硅材(300821)·工业硅（有机硅为主）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>
        <f>IF(AND(ISNUMBER(R5),ISNUMBER(M5),M5&lt;&gt;0),(R5-M5)/M5,"-")</f>
        <v/>
      </c>
      <c r="T5" t="inlineStr">
        <is>
          <t>-</t>
        </is>
      </c>
      <c r="U5">
        <f>IF(AND(ISNUMBER(T5),ISNUMBER(N5),N5&lt;&gt;0),(T5-N5)/N5,"-")</f>
        <v/>
      </c>
      <c r="V5" t="inlineStr">
        <is>
          <t>-</t>
        </is>
      </c>
      <c r="W5">
        <f>IF(AND(ISNUMBER(V5),ISNUMBER(O5),O5&lt;&gt;0),(V5-O5)/O5,"-")</f>
        <v/>
      </c>
      <c r="X5" t="inlineStr">
        <is>
          <t>待发布(预计2026-10月末；中报未披露工业硅产量)</t>
        </is>
      </c>
      <c r="Y5">
        <f>IF(AND(ISNUMBER(X5),ISNUMBER(P5),P5&lt;&gt;0),(X5-P5)/P5,"-")</f>
        <v/>
      </c>
      <c r="Z5" t="inlineStr">
        <is>
          <t>2026中报(8/19)无任何产量披露(仅产能60万吨有机硅单体/年+分产品营收)</t>
        </is>
      </c>
      <c r="AA5" t="inlineStr">
        <is>
          <t>无</t>
        </is>
      </c>
      <c r="AB5" t="inlineStr">
        <is>
          <t>产量序列待回填（年报/中报口径）；'-'=待核，勿当零</t>
        </is>
      </c>
    </row>
    <row r="6">
      <c r="A6" t="inlineStr">
        <is>
          <t>东方希望</t>
        </is>
      </c>
      <c r="B6" t="inlineStr">
        <is>
          <t>中国</t>
        </is>
      </c>
      <c r="C6" t="inlineStr">
        <is>
          <t>东方希望·新疆准东工业硅（非上市）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>
        <f>IF(AND(ISNUMBER(R6),ISNUMBER(M6),M6&lt;&gt;0),(R6-M6)/M6,"-")</f>
        <v/>
      </c>
      <c r="T6" t="inlineStr">
        <is>
          <t>-</t>
        </is>
      </c>
      <c r="U6">
        <f>IF(AND(ISNUMBER(T6),ISNUMBER(N6),N6&lt;&gt;0),(T6-N6)/N6,"-")</f>
        <v/>
      </c>
      <c r="V6" t="inlineStr">
        <is>
          <t>-</t>
        </is>
      </c>
      <c r="W6">
        <f>IF(AND(ISNUMBER(V6),ISNUMBER(O6),O6&lt;&gt;0),(V6-O6)/O6,"-")</f>
        <v/>
      </c>
      <c r="Y6">
        <f>IF(AND(ISNUMBER(X6),ISNUMBER(P6),P6&lt;&gt;0),(X6-P6)/P6,"-")</f>
        <v/>
      </c>
      <c r="Z6" t="inlineStr">
        <is>
          <t>2026-07 调研：17 台 33MVA 炉开 12 台，月产 2 万+吨</t>
        </is>
      </c>
      <c r="AA6" t="inlineStr">
        <is>
          <t>无</t>
        </is>
      </c>
      <c r="AB6" t="inlineStr">
        <is>
          <t>调研口径（2026-07 新疆调研）：满产约 3 万吨/月，完全成本约 8,300 元/吨为市场最低；年度序列待回填</t>
        </is>
      </c>
    </row>
    <row r="7">
      <c r="A7" t="inlineStr">
        <is>
          <t>云南永昌硅业</t>
        </is>
      </c>
      <c r="B7" t="inlineStr">
        <is>
          <t>中国</t>
        </is>
      </c>
      <c r="C7" t="inlineStr">
        <is>
          <t>永昌硅业·云南（非上市，水电硅）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>
        <f>IF(AND(ISNUMBER(R7),ISNUMBER(M7),M7&lt;&gt;0),(R7-M7)/M7,"-")</f>
        <v/>
      </c>
      <c r="T7" t="inlineStr">
        <is>
          <t>-</t>
        </is>
      </c>
      <c r="U7">
        <f>IF(AND(ISNUMBER(T7),ISNUMBER(N7),N7&lt;&gt;0),(T7-N7)/N7,"-")</f>
        <v/>
      </c>
      <c r="V7" t="inlineStr">
        <is>
          <t>-</t>
        </is>
      </c>
      <c r="W7">
        <f>IF(AND(ISNUMBER(V7),ISNUMBER(O7),O7&lt;&gt;0),(V7-O7)/O7,"-")</f>
        <v/>
      </c>
      <c r="Y7">
        <f>IF(AND(ISNUMBER(X7),ISNUMBER(P7),P7&lt;&gt;0),(X7-P7)/P7,"-")</f>
        <v/>
      </c>
      <c r="Z7" t="inlineStr">
        <is>
          <t>-</t>
        </is>
      </c>
      <c r="AA7" t="inlineStr">
        <is>
          <t>无</t>
        </is>
      </c>
      <c r="AB7" t="inlineStr">
        <is>
          <t>季度序列待回填（铁合金在线/百川口径）；'-'=待核，勿当零</t>
        </is>
      </c>
    </row>
    <row r="8">
      <c r="A8" t="inlineStr">
        <is>
          <t>Elkem</t>
        </is>
      </c>
      <c r="B8" t="inlineStr">
        <is>
          <t>挪威</t>
        </is>
      </c>
      <c r="C8" t="inlineStr">
        <is>
          <t>Elkem(ELK.OL)·Silicon products+Silicones 分部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>
        <f>IF(AND(ISNUMBER(R8),ISNUMBER(M8),M8&lt;&gt;0),(R8-M8)/M8,"-")</f>
        <v/>
      </c>
      <c r="T8" t="n">
        <v>9.5</v>
      </c>
      <c r="U8">
        <f>IF(AND(ISNUMBER(T8),ISNUMBER(N8),N8&lt;&gt;0),(T8-N8)/N8,"-")</f>
        <v/>
      </c>
      <c r="V8" t="n">
        <v>9.6</v>
      </c>
      <c r="W8">
        <f>IF(AND(ISNUMBER(V8),ISNUMBER(O8),O8&lt;&gt;0),(V8-O8)/O8,"-")</f>
        <v/>
      </c>
      <c r="X8" t="inlineStr">
        <is>
          <t>待发布(2026-10-29)</t>
        </is>
      </c>
      <c r="Y8">
        <f>IF(AND(ISNUMBER(X8),ISNUMBER(P8),P8&lt;&gt;0),(X8-P8)/P8,"-")</f>
        <v/>
      </c>
      <c r="Z8" t="inlineStr">
        <is>
          <t>Silicon Products 分部销量口径（kt，Excl. microsilica/quartz）；2026-02 Silicones 分部出售给 Bluestar，2026 起仅 Silicon Products 分部</t>
        </is>
      </c>
      <c r="AA8" t="inlineStr">
        <is>
          <t>无</t>
        </is>
      </c>
      <c r="AB8" t="inlineStr">
        <is>
          <t>销量口径（sales volumes，非生产量）；2026 起 Silicones 已剥离，硅口径=Silicon Products 分部；26Q1=95kt（H1 191kt−Q2 96kt 推算）、26Q2=96kt（kt÷10=万吨）；源 Elkem 2Q2026 报告 Key Figures</t>
        </is>
      </c>
    </row>
    <row r="9">
      <c r="A9" t="inlineStr">
        <is>
          <t>通威绿色基材</t>
        </is>
      </c>
      <c r="B9" t="inlineStr">
        <is>
          <t>中国</t>
        </is>
      </c>
      <c r="C9" t="inlineStr">
        <is>
          <t>通威股份·绿色基材（广元/包头工业硅）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>
        <f>IF(AND(ISNUMBER(R9),ISNUMBER(M9),M9&lt;&gt;0),(R9-M9)/M9,"-")</f>
        <v/>
      </c>
      <c r="T9" t="inlineStr">
        <is>
          <t>-</t>
        </is>
      </c>
      <c r="U9">
        <f>IF(AND(ISNUMBER(T9),ISNUMBER(N9),N9&lt;&gt;0),(T9-N9)/N9,"-")</f>
        <v/>
      </c>
      <c r="V9" t="inlineStr">
        <is>
          <t>-</t>
        </is>
      </c>
      <c r="W9">
        <f>IF(AND(ISNUMBER(V9),ISNUMBER(O9),O9&lt;&gt;0),(V9-O9)/O9,"-")</f>
        <v/>
      </c>
      <c r="Y9">
        <f>IF(AND(ISNUMBER(X9),ISNUMBER(P9),P9&lt;&gt;0),(X9-P9)/P9,"-")</f>
        <v/>
      </c>
      <c r="Z9" t="inlineStr">
        <is>
          <t>配套多晶硅一体化放量（计划）</t>
        </is>
      </c>
      <c r="AA9" t="inlineStr">
        <is>
          <t>无</t>
        </is>
      </c>
      <c r="AB9" t="inlineStr">
        <is>
          <t>产量序列待回填；'-'=待核，勿当零</t>
        </is>
      </c>
    </row>
    <row r="10">
      <c r="A10" t="inlineStr">
        <is>
          <t>其亚集团</t>
        </is>
      </c>
      <c r="B10" t="inlineStr">
        <is>
          <t>中国</t>
        </is>
      </c>
      <c r="C10" t="inlineStr">
        <is>
          <t>其亚集团·新疆 20 万吨工业硅项目（非上市）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>
        <f>IF(AND(ISNUMBER(R10),ISNUMBER(M10),M10&lt;&gt;0),(R10-M10)/M10,"-")</f>
        <v/>
      </c>
      <c r="T10" t="inlineStr">
        <is>
          <t>-</t>
        </is>
      </c>
      <c r="U10">
        <f>IF(AND(ISNUMBER(T10),ISNUMBER(N10),N10&lt;&gt;0),(T10-N10)/N10,"-")</f>
        <v/>
      </c>
      <c r="V10" t="inlineStr">
        <is>
          <t>-</t>
        </is>
      </c>
      <c r="W10">
        <f>IF(AND(ISNUMBER(V10),ISNUMBER(O10),O10&lt;&gt;0),(V10-O10)/O10,"-")</f>
        <v/>
      </c>
      <c r="Y10">
        <f>IF(AND(ISNUMBER(X10),ISNUMBER(P10),P10&lt;&gt;0),(X10-P10)/P10,"-")</f>
        <v/>
      </c>
      <c r="Z10" t="inlineStr">
        <is>
          <t>-</t>
        </is>
      </c>
      <c r="AA10" t="inlineStr">
        <is>
          <t>无</t>
        </is>
      </c>
      <c r="AB10" t="inlineStr">
        <is>
          <t>产能锚点占位；多晶硅产量见多晶硅板块</t>
        </is>
      </c>
    </row>
    <row r="11">
      <c r="A11" t="inlineStr">
        <is>
          <t>红狮控股</t>
        </is>
      </c>
      <c r="B11" t="inlineStr">
        <is>
          <t>中国</t>
        </is>
      </c>
      <c r="C11" t="inlineStr">
        <is>
          <t>红狮·工业硅项目（非上市）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>
        <f>IF(AND(ISNUMBER(R11),ISNUMBER(M11),M11&lt;&gt;0),(R11-M11)/M11,"-")</f>
        <v/>
      </c>
      <c r="T11" t="inlineStr">
        <is>
          <t>-</t>
        </is>
      </c>
      <c r="U11">
        <f>IF(AND(ISNUMBER(T11),ISNUMBER(N11),N11&lt;&gt;0),(T11-N11)/N11,"-")</f>
        <v/>
      </c>
      <c r="V11" t="inlineStr">
        <is>
          <t>-</t>
        </is>
      </c>
      <c r="W11">
        <f>IF(AND(ISNUMBER(V11),ISNUMBER(O11),O11&lt;&gt;0),(V11-O11)/O11,"-")</f>
        <v/>
      </c>
      <c r="Y11">
        <f>IF(AND(ISNUMBER(X11),ISNUMBER(P11),P11&lt;&gt;0),(X11-P11)/P11,"-")</f>
        <v/>
      </c>
      <c r="Z11" t="inlineStr">
        <is>
          <t>-</t>
        </is>
      </c>
      <c r="AA11" t="inlineStr">
        <is>
          <t>无</t>
        </is>
      </c>
      <c r="AB11" t="inlineStr">
        <is>
          <t>产能锚点占位，尚无产量披露</t>
        </is>
      </c>
    </row>
    <row r="12">
      <c r="A12" t="inlineStr">
        <is>
          <t>宝丰能源</t>
        </is>
      </c>
      <c r="B12" t="inlineStr">
        <is>
          <t>中国</t>
        </is>
      </c>
      <c r="C12" t="inlineStr">
        <is>
          <t>宝丰能源(600989)·宁夏工业硅配套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>
        <f>IF(AND(ISNUMBER(R12),ISNUMBER(M12),M12&lt;&gt;0),(R12-M12)/M12,"-")</f>
        <v/>
      </c>
      <c r="T12" t="inlineStr">
        <is>
          <t>-</t>
        </is>
      </c>
      <c r="U12">
        <f>IF(AND(ISNUMBER(T12),ISNUMBER(N12),N12&lt;&gt;0),(T12-N12)/N12,"-")</f>
        <v/>
      </c>
      <c r="V12" t="inlineStr">
        <is>
          <t>-</t>
        </is>
      </c>
      <c r="W12">
        <f>IF(AND(ISNUMBER(V12),ISNUMBER(O12),O12&lt;&gt;0),(V12-O12)/O12,"-")</f>
        <v/>
      </c>
      <c r="Y12">
        <f>IF(AND(ISNUMBER(X12),ISNUMBER(P12),P12&lt;&gt;0),(X12-P12)/P12,"-")</f>
        <v/>
      </c>
      <c r="Z12" t="inlineStr">
        <is>
          <t>-</t>
        </is>
      </c>
      <c r="AA12" t="inlineStr">
        <is>
          <t>无</t>
        </is>
      </c>
      <c r="AB12" t="inlineStr">
        <is>
          <t>产能锚点占位；多晶硅产量见多晶硅板块</t>
        </is>
      </c>
    </row>
    <row r="13">
      <c r="A13" t="inlineStr">
        <is>
          <t>特变楼兰</t>
        </is>
      </c>
      <c r="B13" t="inlineStr">
        <is>
          <t>中国</t>
        </is>
      </c>
      <c r="C13" t="inlineStr">
        <is>
          <t>特变电工·楼兰新材料工业硅（新特配套）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>
        <f>IF(AND(ISNUMBER(R13),ISNUMBER(M13),M13&lt;&gt;0),(R13-M13)/M13,"-")</f>
        <v/>
      </c>
      <c r="T13" t="inlineStr">
        <is>
          <t>-</t>
        </is>
      </c>
      <c r="U13">
        <f>IF(AND(ISNUMBER(T13),ISNUMBER(N13),N13&lt;&gt;0),(T13-N13)/N13,"-")</f>
        <v/>
      </c>
      <c r="V13" t="inlineStr">
        <is>
          <t>-</t>
        </is>
      </c>
      <c r="W13">
        <f>IF(AND(ISNUMBER(V13),ISNUMBER(O13),O13&lt;&gt;0),(V13-O13)/O13,"-")</f>
        <v/>
      </c>
      <c r="Y13">
        <f>IF(AND(ISNUMBER(X13),ISNUMBER(P13),P13&lt;&gt;0),(X13-P13)/P13,"-")</f>
        <v/>
      </c>
      <c r="Z13" t="inlineStr">
        <is>
          <t>2026 逐步投产（配套新特多晶硅）</t>
        </is>
      </c>
      <c r="AA13" t="inlineStr">
        <is>
          <t>无</t>
        </is>
      </c>
      <c r="AB13" t="inlineStr">
        <is>
          <t>产能锚点占位，尚无产量披露</t>
        </is>
      </c>
    </row>
    <row r="14">
      <c r="A14" t="inlineStr">
        <is>
          <t>天合青海</t>
        </is>
      </c>
      <c r="B14" t="inlineStr">
        <is>
          <t>中国</t>
        </is>
      </c>
      <c r="C14" t="inlineStr">
        <is>
          <t>天合光能·青海工业硅配套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>
        <f>IF(AND(ISNUMBER(R14),ISNUMBER(M14),M14&lt;&gt;0),(R14-M14)/M14,"-")</f>
        <v/>
      </c>
      <c r="T14" t="inlineStr">
        <is>
          <t>-</t>
        </is>
      </c>
      <c r="U14">
        <f>IF(AND(ISNUMBER(T14),ISNUMBER(N14),N14&lt;&gt;0),(T14-N14)/N14,"-")</f>
        <v/>
      </c>
      <c r="V14" t="inlineStr">
        <is>
          <t>-</t>
        </is>
      </c>
      <c r="W14">
        <f>IF(AND(ISNUMBER(V14),ISNUMBER(O14),O14&lt;&gt;0),(V14-O14)/O14,"-")</f>
        <v/>
      </c>
      <c r="Y14">
        <f>IF(AND(ISNUMBER(X14),ISNUMBER(P14),P14&lt;&gt;0),(X14-P14)/P14,"-")</f>
        <v/>
      </c>
      <c r="Z14" t="inlineStr">
        <is>
          <t>-</t>
        </is>
      </c>
      <c r="AA14" t="inlineStr">
        <is>
          <t>无</t>
        </is>
      </c>
      <c r="AB14" t="inlineStr">
        <is>
          <t>产能锚点占位，尚无产量披露</t>
        </is>
      </c>
    </row>
    <row r="15">
      <c r="A15" t="inlineStr">
        <is>
          <t>东方日升</t>
        </is>
      </c>
      <c r="B15" t="inlineStr">
        <is>
          <t>中国</t>
        </is>
      </c>
      <c r="C15" t="inlineStr">
        <is>
          <t>东方日升(300118)·工业硅配套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>
        <f>IF(AND(ISNUMBER(R15),ISNUMBER(M15),M15&lt;&gt;0),(R15-M15)/M15,"-")</f>
        <v/>
      </c>
      <c r="T15" t="inlineStr">
        <is>
          <t>-</t>
        </is>
      </c>
      <c r="U15">
        <f>IF(AND(ISNUMBER(T15),ISNUMBER(N15),N15&lt;&gt;0),(T15-N15)/N15,"-")</f>
        <v/>
      </c>
      <c r="V15" t="inlineStr">
        <is>
          <t>-</t>
        </is>
      </c>
      <c r="W15">
        <f>IF(AND(ISNUMBER(V15),ISNUMBER(O15),O15&lt;&gt;0),(V15-O15)/O15,"-")</f>
        <v/>
      </c>
      <c r="Y15">
        <f>IF(AND(ISNUMBER(X15),ISNUMBER(P15),P15&lt;&gt;0),(X15-P15)/P15,"-")</f>
        <v/>
      </c>
      <c r="Z15" t="inlineStr">
        <is>
          <t>-</t>
        </is>
      </c>
      <c r="AA15" t="inlineStr">
        <is>
          <t>无</t>
        </is>
      </c>
      <c r="AB15" t="inlineStr">
        <is>
          <t>产能锚点占位，尚无产量披露</t>
        </is>
      </c>
    </row>
    <row r="16">
      <c r="A16" t="inlineStr">
        <is>
          <t>Ferroglobe</t>
        </is>
      </c>
      <c r="B16" t="inlineStr">
        <is>
          <t>西班牙/美国</t>
        </is>
      </c>
      <c r="C16" t="inlineStr">
        <is>
          <t>工业硅+硅铁（⚠发货量口径，非产量）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>
        <f>IF(AND(ISNUMBER(R16),ISNUMBER(M16),M16&lt;&gt;0),(R16-M16)/M16,"-")</f>
        <v/>
      </c>
      <c r="T16" t="n">
        <v>9.119999999999999</v>
      </c>
      <c r="U16">
        <f>IF(AND(ISNUMBER(T16),ISNUMBER(N16),N16&lt;&gt;0),(T16-N16)/N16,"-")</f>
        <v/>
      </c>
      <c r="V16" t="n">
        <v>10.37</v>
      </c>
      <c r="W16">
        <f>IF(AND(ISNUMBER(V16),ISNUMBER(O16),O16&lt;&gt;0),(V16-O16)/O16,"-")</f>
        <v/>
      </c>
      <c r="X16" t="inlineStr">
        <is>
          <t>待发布(2026-11-03)</t>
        </is>
      </c>
      <c r="Y16">
        <f>IF(AND(ISNUMBER(X16),ISNUMBER(P16),P16&lt;&gt;0),(X16-P16)/P16,"-")</f>
        <v/>
      </c>
      <c r="Z16" t="inlineStr">
        <is>
          <t>发货量口径（非产量）=硅金属+硅铁合计；硅金属 26Q1 30,533 / 26Q2 40,818 MT，硅铁 26Q1 60,674 / 26Q2 62,915 MT</t>
        </is>
      </c>
      <c r="AA16" t="inlineStr">
        <is>
          <t>无</t>
        </is>
      </c>
      <c r="AB16" t="inlineStr">
        <is>
          <t>发货量口径（shipments，非产量），与产量口径差异需注意；MT÷10000=万吨；源 Ferroglobe Q2 2026 业绩新闻稿(2026-08-04) Product Category 表</t>
        </is>
      </c>
    </row>
    <row r="17">
      <c r="A17" s="2" t="inlineStr">
        <is>
          <t>总计</t>
        </is>
      </c>
      <c r="D17">
        <f>SUM(D2:D16)</f>
        <v/>
      </c>
      <c r="E17">
        <f>SUM(E2:E16)</f>
        <v/>
      </c>
      <c r="F17">
        <f>SUM(F2:F16)</f>
        <v/>
      </c>
      <c r="G17">
        <f>SUM(G2:G16)</f>
        <v/>
      </c>
      <c r="H17">
        <f>SUM(H2:H16)</f>
        <v/>
      </c>
      <c r="I17">
        <f>SUM(I2:I16)</f>
        <v/>
      </c>
      <c r="J17">
        <f>SUM(J2:J16)</f>
        <v/>
      </c>
      <c r="K17">
        <f>SUM(K2:K16)</f>
        <v/>
      </c>
      <c r="L17">
        <f>SUM(L2:L16)</f>
        <v/>
      </c>
      <c r="M17">
        <f>SUM(M2:M16)</f>
        <v/>
      </c>
      <c r="N17">
        <f>SUM(N2:N16)</f>
        <v/>
      </c>
      <c r="O17">
        <f>SUM(O2:O16)</f>
        <v/>
      </c>
      <c r="P17">
        <f>SUM(P2:P16)</f>
        <v/>
      </c>
      <c r="Q17">
        <f>SUM(Q2:Q16)</f>
        <v/>
      </c>
      <c r="R17">
        <f>SUM(R2:R16)</f>
        <v/>
      </c>
      <c r="T17">
        <f>SUM(T2:T16)</f>
        <v/>
      </c>
      <c r="V17">
        <f>SUM(V2:V16)</f>
        <v/>
      </c>
      <c r="X17">
        <f>SUM(X2:X16)</f>
        <v/>
      </c>
      <c r="Y17">
        <f>IF(AND(ISNUMBER(X17),ISNUMBER(P17),P17&lt;&gt;0),(X17-P17)/P17,"-")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2" customWidth="1" min="3" max="3"/>
    <col width="40" customWidth="1" min="24" max="24"/>
    <col width="46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t="inlineStr">
        <is>
          <t>26Q3</t>
        </is>
      </c>
      <c r="Y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t="inlineStr">
        <is>
          <t>通威股份有限公司</t>
        </is>
      </c>
      <c r="B2" t="inlineStr">
        <is>
          <t>中国</t>
        </is>
      </c>
      <c r="C2" t="inlineStr">
        <is>
          <t>通威股份·多晶硅（永祥系，100% 口径）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n">
        <v>9.800000000000001</v>
      </c>
      <c r="H2" t="n">
        <v>38.72</v>
      </c>
      <c r="I2" t="n">
        <v>11.2</v>
      </c>
      <c r="J2" t="n">
        <v>12.8</v>
      </c>
      <c r="K2" t="n">
        <v>15.7</v>
      </c>
      <c r="L2" t="n">
        <v>13.3</v>
      </c>
      <c r="M2" t="n">
        <v>53</v>
      </c>
      <c r="N2" t="n">
        <v>7.8</v>
      </c>
      <c r="O2" t="n">
        <v>9.5</v>
      </c>
      <c r="P2" t="n">
        <v>15.65</v>
      </c>
      <c r="Q2" t="n">
        <v>10.9</v>
      </c>
      <c r="R2" t="n">
        <v>43.85</v>
      </c>
      <c r="S2">
        <f>IF(AND(ISNUMBER(R2),ISNUMBER(M2),M2&lt;&gt;0),(R2-M2)/M2,"-")</f>
        <v/>
      </c>
      <c r="T2" t="n">
        <v>1</v>
      </c>
      <c r="U2">
        <f>IF(AND(ISNUMBER(T2),ISNUMBER(N2),N2&lt;&gt;0),(T2-N2)/N2,"-")</f>
        <v/>
      </c>
      <c r="V2" t="n">
        <v>0.2</v>
      </c>
      <c r="W2">
        <f>IF(AND(ISNUMBER(V2),ISNUMBER(O2),O2&lt;&gt;0),(V2-O2)/O2,"-")</f>
        <v/>
      </c>
      <c r="X2" t="n">
        <v>11</v>
      </c>
      <c r="Y2">
        <f>IF(AND(ISNUMBER(X2),ISNUMBER(P2),P2&lt;&gt;0),(X2-P2)/P2,"-")</f>
        <v/>
      </c>
      <c r="Z2" t="inlineStr">
        <is>
          <t>2026-07 起复产（cnfeol 月度 7/8/9 月=3.0/4.0/4.0 万吨，Q3=11.0 万吨）；此前 2026-01 全面停产（反内卷）</t>
        </is>
      </c>
      <c r="AA2" t="inlineStr">
        <is>
          <t>无</t>
        </is>
      </c>
      <c r="AB2" t="inlineStr">
        <is>
          <t>铁合金在线口径（月度三月求和）；2026-01 起全面停产见合盛研究引述[18]；2023 年度总计=年报口径，23Q1-Q3 平台拟合</t>
        </is>
      </c>
    </row>
    <row r="3">
      <c r="A3" t="inlineStr">
        <is>
          <t>协鑫科技</t>
        </is>
      </c>
      <c r="B3" t="inlineStr">
        <is>
          <t>中国</t>
        </is>
      </c>
      <c r="C3" t="inlineStr">
        <is>
          <t>协鑫科技(3800.HK)·颗粒硅+棒状硅合计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9.49</v>
      </c>
      <c r="H3" t="n">
        <v>23.3</v>
      </c>
      <c r="I3" t="n">
        <v>7.7</v>
      </c>
      <c r="J3" t="n">
        <v>7.4</v>
      </c>
      <c r="K3" t="n">
        <v>7</v>
      </c>
      <c r="L3" t="n">
        <v>7.15</v>
      </c>
      <c r="M3" t="n">
        <v>29.25</v>
      </c>
      <c r="N3" t="n">
        <v>6.5</v>
      </c>
      <c r="O3" t="n">
        <v>7</v>
      </c>
      <c r="P3" t="n">
        <v>7.3</v>
      </c>
      <c r="Q3" t="n">
        <v>6.2</v>
      </c>
      <c r="R3" t="n">
        <v>27</v>
      </c>
      <c r="S3">
        <f>IF(AND(ISNUMBER(R3),ISNUMBER(M3),M3&lt;&gt;0),(R3-M3)/M3,"-")</f>
        <v/>
      </c>
      <c r="T3" t="n">
        <v>5.2</v>
      </c>
      <c r="U3">
        <f>IF(AND(ISNUMBER(T3),ISNUMBER(N3),N3&lt;&gt;0),(T3-N3)/N3,"-")</f>
        <v/>
      </c>
      <c r="V3" t="n">
        <v>7</v>
      </c>
      <c r="W3">
        <f>IF(AND(ISNUMBER(V3),ISNUMBER(O3),O3&lt;&gt;0),(V3-O3)/O3,"-")</f>
        <v/>
      </c>
      <c r="X3" t="n">
        <v>6.8</v>
      </c>
      <c r="Y3">
        <f>IF(AND(ISNUMBER(X3),ISNUMBER(P3),P3&lt;&gt;0),(X3-P3)/P3,"-")</f>
        <v/>
      </c>
      <c r="Z3" t="inlineStr">
        <is>
          <t>2026-01 大规模减产后逐步恢复，颗粒硅低现金成本优先保产</t>
        </is>
      </c>
      <c r="AA3" t="inlineStr">
        <is>
          <t>无</t>
        </is>
      </c>
      <c r="AB3" t="inlineStr">
        <is>
          <t>铁合金在线口径；颗粒硅+棒状硅合计；2023 年度总计=年报口径，23Q1-Q3 平台拟合</t>
        </is>
      </c>
    </row>
    <row r="4">
      <c r="A4" t="inlineStr">
        <is>
          <t>新疆大全新能源</t>
        </is>
      </c>
      <c r="B4" t="inlineStr">
        <is>
          <t>中国</t>
        </is>
      </c>
      <c r="C4" t="inlineStr">
        <is>
          <t>大全能源(688303)·新疆+内蒙，100% 口径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5.8</v>
      </c>
      <c r="H4" t="n">
        <v>19.78</v>
      </c>
      <c r="I4" t="n">
        <v>6</v>
      </c>
      <c r="J4" t="n">
        <v>6.3</v>
      </c>
      <c r="K4" t="n">
        <v>4.5</v>
      </c>
      <c r="L4" t="n">
        <v>3.5</v>
      </c>
      <c r="M4" t="n">
        <v>20.3</v>
      </c>
      <c r="N4" t="n">
        <v>2.2</v>
      </c>
      <c r="O4" t="n">
        <v>2.1</v>
      </c>
      <c r="P4" t="n">
        <v>2.6</v>
      </c>
      <c r="Q4" t="n">
        <v>3.65</v>
      </c>
      <c r="R4" t="n">
        <v>10.55</v>
      </c>
      <c r="S4">
        <f>IF(AND(ISNUMBER(R4),ISNUMBER(M4),M4&lt;&gt;0),(R4-M4)/M4,"-")</f>
        <v/>
      </c>
      <c r="T4" t="n">
        <v>4.15</v>
      </c>
      <c r="U4">
        <f>IF(AND(ISNUMBER(T4),ISNUMBER(N4),N4&lt;&gt;0),(T4-N4)/N4,"-")</f>
        <v/>
      </c>
      <c r="V4" t="n">
        <v>4.13</v>
      </c>
      <c r="W4">
        <f>IF(AND(ISNUMBER(V4),ISNUMBER(O4),O4&lt;&gt;0),(V4-O4)/O4,"-")</f>
        <v/>
      </c>
      <c r="X4" t="n">
        <v>4.35</v>
      </c>
      <c r="Y4">
        <f>IF(AND(ISNUMBER(X4),ISNUMBER(P4),P4&lt;&gt;0),(X4-P4)/P4,"-")</f>
        <v/>
      </c>
      <c r="Z4" t="inlineStr">
        <is>
          <t>低电价成本优势下开工高于行业，2026 持续复产</t>
        </is>
      </c>
      <c r="AA4" t="inlineStr">
        <is>
          <t>待官方披露后回填</t>
        </is>
      </c>
      <c r="AB4" t="inlineStr">
        <is>
          <t>铁合金在线口径，与季报披露交叉验证；2023 年度总计=年报口径，23Q1-Q3 平台拟合</t>
        </is>
      </c>
    </row>
    <row r="5">
      <c r="A5" t="inlineStr">
        <is>
          <t>新特能源</t>
        </is>
      </c>
      <c r="B5" t="inlineStr">
        <is>
          <t>中国</t>
        </is>
      </c>
      <c r="C5" t="inlineStr">
        <is>
          <t>新特能源(1799.HK)·特变电工旗下，含新疆/内蒙基地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6.4</v>
      </c>
      <c r="H5" t="n">
        <v>19.13</v>
      </c>
      <c r="I5" t="n">
        <v>7</v>
      </c>
      <c r="J5" t="n">
        <v>5.8</v>
      </c>
      <c r="K5" t="n">
        <v>2.7</v>
      </c>
      <c r="L5" t="n">
        <v>1.75</v>
      </c>
      <c r="M5" t="n">
        <v>17.25</v>
      </c>
      <c r="N5" t="n">
        <v>1.8</v>
      </c>
      <c r="O5" t="n">
        <v>1.8</v>
      </c>
      <c r="P5" t="n">
        <v>2.4</v>
      </c>
      <c r="Q5" t="n">
        <v>3.4</v>
      </c>
      <c r="R5" t="n">
        <v>9.4</v>
      </c>
      <c r="S5">
        <f>IF(AND(ISNUMBER(R5),ISNUMBER(M5),M5&lt;&gt;0),(R5-M5)/M5,"-")</f>
        <v/>
      </c>
      <c r="T5" t="n">
        <v>4.8</v>
      </c>
      <c r="U5">
        <f>IF(AND(ISNUMBER(T5),ISNUMBER(N5),N5&lt;&gt;0),(T5-N5)/N5,"-")</f>
        <v/>
      </c>
      <c r="V5" t="n">
        <v>5.4</v>
      </c>
      <c r="W5">
        <f>IF(AND(ISNUMBER(V5),ISNUMBER(O5),O5&lt;&gt;0),(V5-O5)/O5,"-")</f>
        <v/>
      </c>
      <c r="X5" t="n">
        <v>5.2</v>
      </c>
      <c r="Y5">
        <f>IF(AND(ISNUMBER(X5),ISNUMBER(P5),P5&lt;&gt;0),(X5-P5)/P5,"-")</f>
        <v/>
      </c>
      <c r="Z5" t="inlineStr">
        <is>
          <t>2024H2 深减后 2026 逐步恢复（楼兰等配套工业硅投产）</t>
        </is>
      </c>
      <c r="AA5" t="inlineStr">
        <is>
          <t>无</t>
        </is>
      </c>
      <c r="AB5" t="inlineStr">
        <is>
          <t>铁合金在线口径；2023 年度总计=年报口径，23Q1-Q3 平台拟合</t>
        </is>
      </c>
    </row>
    <row r="6">
      <c r="A6" t="inlineStr">
        <is>
          <t>上海东方希望</t>
        </is>
      </c>
      <c r="B6" t="inlineStr">
        <is>
          <t>中国</t>
        </is>
      </c>
      <c r="C6" t="inlineStr">
        <is>
          <t>东方希望·新疆准东+宁夏（非上市）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n">
        <v>3.3</v>
      </c>
      <c r="H6" t="inlineStr">
        <is>
          <t>-</t>
        </is>
      </c>
      <c r="I6" t="n">
        <v>4.05</v>
      </c>
      <c r="J6" t="n">
        <v>3.35</v>
      </c>
      <c r="K6" t="n">
        <v>0</v>
      </c>
      <c r="L6" t="n">
        <v>0.8</v>
      </c>
      <c r="M6" t="n">
        <v>8.199999999999999</v>
      </c>
      <c r="N6" t="n">
        <v>2.3</v>
      </c>
      <c r="O6" t="n">
        <v>2.7</v>
      </c>
      <c r="P6" t="n">
        <v>2.65</v>
      </c>
      <c r="Q6" t="n">
        <v>4.05</v>
      </c>
      <c r="R6" t="n">
        <v>11.7</v>
      </c>
      <c r="S6">
        <f>IF(AND(ISNUMBER(R6),ISNUMBER(M6),M6&lt;&gt;0),(R6-M6)/M6,"-")</f>
        <v/>
      </c>
      <c r="T6" t="n">
        <v>3.9</v>
      </c>
      <c r="U6">
        <f>IF(AND(ISNUMBER(T6),ISNUMBER(N6),N6&lt;&gt;0),(T6-N6)/N6,"-")</f>
        <v/>
      </c>
      <c r="V6" t="n">
        <v>2.1</v>
      </c>
      <c r="W6">
        <f>IF(AND(ISNUMBER(V6),ISNUMBER(O6),O6&lt;&gt;0),(V6-O6)/O6,"-")</f>
        <v/>
      </c>
      <c r="X6" t="n">
        <v>0</v>
      </c>
      <c r="Y6">
        <f>IF(AND(ISNUMBER(X6),ISNUMBER(P6),P6&lt;&gt;0),(X6-P6)/P6,"-")</f>
        <v/>
      </c>
      <c r="Z6" t="inlineStr">
        <is>
          <t>2024H2 停产检修后恢复；宁夏 12.5 万吨待开</t>
        </is>
      </c>
      <c r="AA6" t="inlineStr">
        <is>
          <t>无</t>
        </is>
      </c>
      <c r="AB6" t="inlineStr">
        <is>
          <t>非上市，铁合金在线口径；2023 无年度值（仅 23Q4 实际）</t>
        </is>
      </c>
    </row>
    <row r="7">
      <c r="A7" t="inlineStr">
        <is>
          <t>合盛硅业</t>
        </is>
      </c>
      <c r="B7" t="inlineStr">
        <is>
          <t>中国</t>
        </is>
      </c>
      <c r="C7" t="inlineStr">
        <is>
          <t>合盛硅业(603260)·中部合盛多晶硅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1.23</v>
      </c>
      <c r="H7" t="inlineStr">
        <is>
          <t>-</t>
        </is>
      </c>
      <c r="I7" t="n">
        <v>1.35</v>
      </c>
      <c r="J7" t="n">
        <v>1.9</v>
      </c>
      <c r="K7" t="n">
        <v>0.3</v>
      </c>
      <c r="L7" t="n">
        <v>0</v>
      </c>
      <c r="M7" t="n">
        <v>3.55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>
        <f>IF(AND(ISNUMBER(R7),ISNUMBER(M7),M7&lt;&gt;0),(R7-M7)/M7,"-")</f>
        <v/>
      </c>
      <c r="T7" t="n">
        <v>0</v>
      </c>
      <c r="U7">
        <f>IF(AND(ISNUMBER(T7),ISNUMBER(N7),N7&lt;&gt;0),(T7-N7)/N7,"-")</f>
        <v/>
      </c>
      <c r="V7" t="n">
        <v>0</v>
      </c>
      <c r="W7">
        <f>IF(AND(ISNUMBER(V7),ISNUMBER(O7),O7&lt;&gt;0),(V7-O7)/O7,"-")</f>
        <v/>
      </c>
      <c r="X7" t="n">
        <v>0</v>
      </c>
      <c r="Y7">
        <f>IF(AND(ISNUMBER(X7),ISNUMBER(P7),P7&lt;&gt;0),(X7-P7)/P7,"-")</f>
        <v/>
      </c>
      <c r="Z7" t="inlineStr">
        <is>
          <t>2025 起产能利用率为 0（350 亿在建挂账，等待行业出清）</t>
        </is>
      </c>
      <c r="AA7" t="inlineStr">
        <is>
          <t>无</t>
        </is>
      </c>
      <c r="AB7" t="inlineStr">
        <is>
          <t>铁合金在线口径；2025 年报产能利用率 0；中部合盛 20 万吨工程进度 92% 但批量延后</t>
        </is>
      </c>
    </row>
    <row r="8">
      <c r="A8" t="inlineStr">
        <is>
          <t>新疆晶诺新能源</t>
        </is>
      </c>
      <c r="B8" t="inlineStr">
        <is>
          <t>中国</t>
        </is>
      </c>
      <c r="C8" t="inlineStr">
        <is>
          <t>晶诺新能源（非上市）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n">
        <v>0</v>
      </c>
      <c r="H8" t="inlineStr">
        <is>
          <t>-</t>
        </is>
      </c>
      <c r="I8" t="n">
        <v>1.14</v>
      </c>
      <c r="J8" t="n">
        <v>1.04</v>
      </c>
      <c r="K8" t="n">
        <v>0.84</v>
      </c>
      <c r="L8" t="n">
        <v>1.44</v>
      </c>
      <c r="M8" t="n">
        <v>4.46</v>
      </c>
      <c r="N8" t="n">
        <v>0.9</v>
      </c>
      <c r="O8" t="n">
        <v>0.9</v>
      </c>
      <c r="P8" t="n">
        <v>0.3</v>
      </c>
      <c r="Q8" t="n">
        <v>1.3</v>
      </c>
      <c r="R8" t="n">
        <v>3.4</v>
      </c>
      <c r="S8">
        <f>IF(AND(ISNUMBER(R8),ISNUMBER(M8),M8&lt;&gt;0),(R8-M8)/M8,"-")</f>
        <v/>
      </c>
      <c r="T8" t="n">
        <v>1.13</v>
      </c>
      <c r="U8">
        <f>IF(AND(ISNUMBER(T8),ISNUMBER(N8),N8&lt;&gt;0),(T8-N8)/N8,"-")</f>
        <v/>
      </c>
      <c r="V8" t="n">
        <v>1.05</v>
      </c>
      <c r="W8">
        <f>IF(AND(ISNUMBER(V8),ISNUMBER(O8),O8&lt;&gt;0),(V8-O8)/O8,"-")</f>
        <v/>
      </c>
      <c r="X8" t="n">
        <v>1.34</v>
      </c>
      <c r="Y8">
        <f>IF(AND(ISNUMBER(X8),ISNUMBER(P8),P8&lt;&gt;0),(X8-P8)/P8,"-")</f>
        <v/>
      </c>
      <c r="Z8" t="inlineStr">
        <is>
          <t>2025Q3 检修减量后恢复</t>
        </is>
      </c>
      <c r="AA8" t="inlineStr">
        <is>
          <t>无</t>
        </is>
      </c>
      <c r="AB8" t="inlineStr">
        <is>
          <t>非上市，铁合金在线口径</t>
        </is>
      </c>
    </row>
    <row r="9">
      <c r="A9" t="inlineStr">
        <is>
          <t>其亚硅业</t>
        </is>
      </c>
      <c r="B9" t="inlineStr">
        <is>
          <t>中国</t>
        </is>
      </c>
      <c r="C9" t="inlineStr">
        <is>
          <t>其亚集团·新疆（非上市）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0</v>
      </c>
      <c r="H9" t="inlineStr">
        <is>
          <t>-</t>
        </is>
      </c>
      <c r="I9" t="n">
        <v>0.55</v>
      </c>
      <c r="J9" t="n">
        <v>1.05</v>
      </c>
      <c r="K9" t="n">
        <v>1.05</v>
      </c>
      <c r="L9" t="n">
        <v>1.1</v>
      </c>
      <c r="M9" t="n">
        <v>3.75</v>
      </c>
      <c r="N9" t="n">
        <v>1.1</v>
      </c>
      <c r="O9" t="n">
        <v>0.1</v>
      </c>
      <c r="P9" t="n">
        <v>0</v>
      </c>
      <c r="Q9" t="n">
        <v>0</v>
      </c>
      <c r="R9" t="n">
        <v>1.2</v>
      </c>
      <c r="S9">
        <f>IF(AND(ISNUMBER(R9),ISNUMBER(M9),M9&lt;&gt;0),(R9-M9)/M9,"-")</f>
        <v/>
      </c>
      <c r="T9" t="n">
        <v>0</v>
      </c>
      <c r="U9">
        <f>IF(AND(ISNUMBER(T9),ISNUMBER(N9),N9&lt;&gt;0),(T9-N9)/N9,"-")</f>
        <v/>
      </c>
      <c r="V9" t="n">
        <v>0</v>
      </c>
      <c r="W9">
        <f>IF(AND(ISNUMBER(V9),ISNUMBER(O9),O9&lt;&gt;0),(V9-O9)/O9,"-")</f>
        <v/>
      </c>
      <c r="X9" t="n">
        <v>0</v>
      </c>
      <c r="Y9">
        <f>IF(AND(ISNUMBER(X9),ISNUMBER(P9),P9&lt;&gt;0),(X9-P9)/P9,"-")</f>
        <v/>
      </c>
      <c r="Z9" t="inlineStr">
        <is>
          <t>2025Q2 起停产（低价减产）</t>
        </is>
      </c>
      <c r="AA9" t="inlineStr">
        <is>
          <t>无</t>
        </is>
      </c>
      <c r="AB9" t="inlineStr">
        <is>
          <t>非上市，铁合金在线口径；工业硅 20 万吨项目另见工业硅板块</t>
        </is>
      </c>
    </row>
    <row r="10">
      <c r="A10" t="inlineStr">
        <is>
          <t>戈恩斯</t>
        </is>
      </c>
      <c r="B10" t="inlineStr">
        <is>
          <t>中国</t>
        </is>
      </c>
      <c r="C10" t="inlineStr">
        <is>
          <t>新疆戈恩斯（协鑫系，非上市）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0</v>
      </c>
      <c r="H10" t="inlineStr">
        <is>
          <t>-</t>
        </is>
      </c>
      <c r="I10" t="n">
        <v>1.59</v>
      </c>
      <c r="J10" t="n">
        <v>1.3</v>
      </c>
      <c r="K10" t="n">
        <v>0.8</v>
      </c>
      <c r="L10" t="n">
        <v>0.8100000000000001</v>
      </c>
      <c r="M10" t="n">
        <v>4.5</v>
      </c>
      <c r="N10" t="n">
        <v>0.8100000000000001</v>
      </c>
      <c r="O10" t="n">
        <v>0.8100000000000001</v>
      </c>
      <c r="P10" t="n">
        <v>0.23</v>
      </c>
      <c r="Q10" t="n">
        <v>0</v>
      </c>
      <c r="R10" t="n">
        <v>1.85</v>
      </c>
      <c r="S10">
        <f>IF(AND(ISNUMBER(R10),ISNUMBER(M10),M10&lt;&gt;0),(R10-M10)/M10,"-")</f>
        <v/>
      </c>
      <c r="T10" t="n">
        <v>0</v>
      </c>
      <c r="U10">
        <f>IF(AND(ISNUMBER(T10),ISNUMBER(N10),N10&lt;&gt;0),(T10-N10)/N10,"-")</f>
        <v/>
      </c>
      <c r="V10" t="n">
        <v>0</v>
      </c>
      <c r="W10">
        <f>IF(AND(ISNUMBER(V10),ISNUMBER(O10),O10&lt;&gt;0),(V10-O10)/O10,"-")</f>
        <v/>
      </c>
      <c r="X10" t="n">
        <v>0</v>
      </c>
      <c r="Y10">
        <f>IF(AND(ISNUMBER(X10),ISNUMBER(P10),P10&lt;&gt;0),(X10-P10)/P10,"-")</f>
        <v/>
      </c>
      <c r="Z10" t="inlineStr">
        <is>
          <t>50% 开工后 2025Q3 起停产（氮气保护，1-2 周可复产）</t>
        </is>
      </c>
      <c r="AA10" t="inlineStr">
        <is>
          <t>无</t>
        </is>
      </c>
      <c r="AB10" t="inlineStr">
        <is>
          <t>非上市，铁合金在线口径；停产产能氮气保护易重启</t>
        </is>
      </c>
    </row>
    <row r="11">
      <c r="A11" t="inlineStr">
        <is>
          <t>亚洲硅业</t>
        </is>
      </c>
      <c r="B11" t="inlineStr">
        <is>
          <t>中国</t>
        </is>
      </c>
      <c r="C11" t="inlineStr">
        <is>
          <t>亚洲硅业（青海，非上市）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2.55</v>
      </c>
      <c r="H11" t="inlineStr">
        <is>
          <t>-</t>
        </is>
      </c>
      <c r="I11" t="n">
        <v>2.55</v>
      </c>
      <c r="J11" t="n">
        <v>2.2</v>
      </c>
      <c r="K11" t="n">
        <v>1.75</v>
      </c>
      <c r="L11" t="n">
        <v>1.35</v>
      </c>
      <c r="M11" t="n">
        <v>7.85</v>
      </c>
      <c r="N11" t="n">
        <v>1.37</v>
      </c>
      <c r="O11" t="n">
        <v>1.45</v>
      </c>
      <c r="P11" t="n">
        <v>2.85</v>
      </c>
      <c r="Q11" t="n">
        <v>2.91</v>
      </c>
      <c r="R11" t="n">
        <v>8.58</v>
      </c>
      <c r="S11">
        <f>IF(AND(ISNUMBER(R11),ISNUMBER(M11),M11&lt;&gt;0),(R11-M11)/M11,"-")</f>
        <v/>
      </c>
      <c r="T11" t="n">
        <v>2.25</v>
      </c>
      <c r="U11">
        <f>IF(AND(ISNUMBER(T11),ISNUMBER(N11),N11&lt;&gt;0),(T11-N11)/N11,"-")</f>
        <v/>
      </c>
      <c r="V11" t="n">
        <v>2.75</v>
      </c>
      <c r="W11">
        <f>IF(AND(ISNUMBER(V11),ISNUMBER(O11),O11&lt;&gt;0),(V11-O11)/O11,"-")</f>
        <v/>
      </c>
      <c r="X11" t="n">
        <v>3.4</v>
      </c>
      <c r="Y11">
        <f>IF(AND(ISNUMBER(X11),ISNUMBER(P11),P11&lt;&gt;0),(X11-P11)/P11,"-")</f>
        <v/>
      </c>
      <c r="Z11" t="inlineStr">
        <is>
          <t>2025H2 起明显增产（低成本产能满负荷）</t>
        </is>
      </c>
      <c r="AA11" t="inlineStr">
        <is>
          <t>无</t>
        </is>
      </c>
      <c r="AB11" t="inlineStr">
        <is>
          <t>非上市，铁合金在线口径</t>
        </is>
      </c>
    </row>
    <row r="12">
      <c r="A12" t="inlineStr">
        <is>
          <t>青海丽豪</t>
        </is>
      </c>
      <c r="B12" t="inlineStr">
        <is>
          <t>中国</t>
        </is>
      </c>
      <c r="C12" t="inlineStr">
        <is>
          <t>青海丽豪（非上市）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2.07</v>
      </c>
      <c r="H12" t="inlineStr">
        <is>
          <t>-</t>
        </is>
      </c>
      <c r="I12" t="n">
        <v>3</v>
      </c>
      <c r="J12" t="n">
        <v>3.7</v>
      </c>
      <c r="K12" t="n">
        <v>2.3</v>
      </c>
      <c r="L12" t="n">
        <v>2.05</v>
      </c>
      <c r="M12" t="n">
        <v>11.05</v>
      </c>
      <c r="N12" t="n">
        <v>1.75</v>
      </c>
      <c r="O12" t="n">
        <v>2.1</v>
      </c>
      <c r="P12" t="n">
        <v>1.3</v>
      </c>
      <c r="Q12" t="n">
        <v>1.83</v>
      </c>
      <c r="R12" t="n">
        <v>6.98</v>
      </c>
      <c r="S12">
        <f>IF(AND(ISNUMBER(R12),ISNUMBER(M12),M12&lt;&gt;0),(R12-M12)/M12,"-")</f>
        <v/>
      </c>
      <c r="T12" t="n">
        <v>1.5</v>
      </c>
      <c r="U12">
        <f>IF(AND(ISNUMBER(T12),ISNUMBER(N12),N12&lt;&gt;0),(T12-N12)/N12,"-")</f>
        <v/>
      </c>
      <c r="V12" t="n">
        <v>1.77</v>
      </c>
      <c r="W12">
        <f>IF(AND(ISNUMBER(V12),ISNUMBER(O12),O12&lt;&gt;0),(V12-O12)/O12,"-")</f>
        <v/>
      </c>
      <c r="X12" t="n">
        <v>1.83</v>
      </c>
      <c r="Y12">
        <f>IF(AND(ISNUMBER(X12),ISNUMBER(P12),P12&lt;&gt;0),(X12-P12)/P12,"-")</f>
        <v/>
      </c>
      <c r="Z12" t="inlineStr">
        <is>
          <t>2025 控产后 2026 稳定运行</t>
        </is>
      </c>
      <c r="AA12" t="inlineStr">
        <is>
          <t>无</t>
        </is>
      </c>
      <c r="AB12" t="inlineStr">
        <is>
          <t>非上市，铁合金在线口径</t>
        </is>
      </c>
    </row>
    <row r="13">
      <c r="A13" t="inlineStr">
        <is>
          <t>宜昌南玻</t>
        </is>
      </c>
      <c r="B13" t="inlineStr">
        <is>
          <t>中国</t>
        </is>
      </c>
      <c r="C13" t="inlineStr">
        <is>
          <t>南玻 A(000012) 旗下·宜昌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</v>
      </c>
      <c r="H13" t="inlineStr">
        <is>
          <t>-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0.25</v>
      </c>
      <c r="Q13" t="n">
        <v>0.8</v>
      </c>
      <c r="R13" t="n">
        <v>1.05</v>
      </c>
      <c r="S13">
        <f>IF(AND(ISNUMBER(R13),ISNUMBER(M13),M13&lt;&gt;0),(R13-M13)/M13,"-")</f>
        <v/>
      </c>
      <c r="T13" t="n">
        <v>0.88</v>
      </c>
      <c r="U13">
        <f>IF(AND(ISNUMBER(T13),ISNUMBER(N13),N13&lt;&gt;0),(T13-N13)/N13,"-")</f>
        <v/>
      </c>
      <c r="V13" t="n">
        <v>0.65</v>
      </c>
      <c r="W13">
        <f>IF(AND(ISNUMBER(V13),ISNUMBER(O13),O13&lt;&gt;0),(V13-O13)/O13,"-")</f>
        <v/>
      </c>
      <c r="X13" t="n">
        <v>0.55</v>
      </c>
      <c r="Y13">
        <f>IF(AND(ISNUMBER(X13),ISNUMBER(P13),P13&lt;&gt;0),(X13-P13)/P13,"-")</f>
        <v/>
      </c>
      <c r="Z13" t="inlineStr">
        <is>
          <t>2025Q3 新投放量</t>
        </is>
      </c>
      <c r="AA13" t="inlineStr">
        <is>
          <t>无</t>
        </is>
      </c>
      <c r="AB13" t="inlineStr">
        <is>
          <t>铁合金在线口径；新进入者</t>
        </is>
      </c>
    </row>
    <row r="14">
      <c r="A14" t="inlineStr">
        <is>
          <t>陕西天宏</t>
        </is>
      </c>
      <c r="B14" t="inlineStr">
        <is>
          <t>中国</t>
        </is>
      </c>
      <c r="C14" t="inlineStr">
        <is>
          <t>陕西天宏（非上市）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0.45</v>
      </c>
      <c r="H14" t="inlineStr">
        <is>
          <t>-</t>
        </is>
      </c>
      <c r="I14" t="n">
        <v>0.45</v>
      </c>
      <c r="J14" t="n">
        <v>0.3</v>
      </c>
      <c r="K14" t="n">
        <v>0.43</v>
      </c>
      <c r="L14" t="n">
        <v>0.22</v>
      </c>
      <c r="M14" t="n">
        <v>1.4</v>
      </c>
      <c r="N14" t="n">
        <v>0.24</v>
      </c>
      <c r="O14" t="n">
        <v>0.22</v>
      </c>
      <c r="P14" t="n">
        <v>0.18</v>
      </c>
      <c r="Q14" t="n">
        <v>0.18</v>
      </c>
      <c r="R14" t="n">
        <v>0.82</v>
      </c>
      <c r="S14">
        <f>IF(AND(ISNUMBER(R14),ISNUMBER(M14),M14&lt;&gt;0),(R14-M14)/M14,"-")</f>
        <v/>
      </c>
      <c r="T14" t="n">
        <v>0.32</v>
      </c>
      <c r="U14">
        <f>IF(AND(ISNUMBER(T14),ISNUMBER(N14),N14&lt;&gt;0),(T14-N14)/N14,"-")</f>
        <v/>
      </c>
      <c r="V14" t="n">
        <v>0.44</v>
      </c>
      <c r="W14">
        <f>IF(AND(ISNUMBER(V14),ISNUMBER(O14),O14&lt;&gt;0),(V14-O14)/O14,"-")</f>
        <v/>
      </c>
      <c r="X14" t="n">
        <v>0.38</v>
      </c>
      <c r="Y14">
        <f>IF(AND(ISNUMBER(X14),ISNUMBER(P14),P14&lt;&gt;0),(X14-P14)/P14,"-")</f>
        <v/>
      </c>
      <c r="Z14" t="inlineStr">
        <is>
          <t>平稳运行</t>
        </is>
      </c>
      <c r="AA14" t="inlineStr">
        <is>
          <t>无</t>
        </is>
      </c>
      <c r="AB14" t="inlineStr">
        <is>
          <t>非上市，铁合金在线口径</t>
        </is>
      </c>
    </row>
    <row r="15">
      <c r="A15" t="inlineStr">
        <is>
          <t>鄂尔多斯多晶硅业</t>
        </is>
      </c>
      <c r="B15" t="inlineStr">
        <is>
          <t>中国</t>
        </is>
      </c>
      <c r="C15" t="inlineStr">
        <is>
          <t>内蒙古鄂尔多斯多晶硅业（非上市）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0.51</v>
      </c>
      <c r="H15" t="inlineStr">
        <is>
          <t>-</t>
        </is>
      </c>
      <c r="I15" t="n">
        <v>0.6</v>
      </c>
      <c r="J15" t="n">
        <v>0.28</v>
      </c>
      <c r="K15" t="n">
        <v>0</v>
      </c>
      <c r="L15" t="n">
        <v>0</v>
      </c>
      <c r="M15" t="n">
        <v>0.88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>
        <f>IF(AND(ISNUMBER(R15),ISNUMBER(M15),M15&lt;&gt;0),(R15-M15)/M15,"-")</f>
        <v/>
      </c>
      <c r="T15" t="n">
        <v>0</v>
      </c>
      <c r="U15">
        <f>IF(AND(ISNUMBER(T15),ISNUMBER(N15),N15&lt;&gt;0),(T15-N15)/N15,"-")</f>
        <v/>
      </c>
      <c r="V15" t="n">
        <v>0</v>
      </c>
      <c r="W15">
        <f>IF(AND(ISNUMBER(V15),ISNUMBER(O15),O15&lt;&gt;0),(V15-O15)/O15,"-")</f>
        <v/>
      </c>
      <c r="X15" t="n">
        <v>0</v>
      </c>
      <c r="Y15">
        <f>IF(AND(ISNUMBER(X15),ISNUMBER(P15),P15&lt;&gt;0),(X15-P15)/P15,"-")</f>
        <v/>
      </c>
      <c r="Z15" t="inlineStr">
        <is>
          <t>2024Q3 起停产</t>
        </is>
      </c>
      <c r="AA15" t="inlineStr">
        <is>
          <t>无</t>
        </is>
      </c>
      <c r="AB15" t="inlineStr">
        <is>
          <t>非上市，铁合金在线口径</t>
        </is>
      </c>
    </row>
    <row r="16">
      <c r="A16" t="inlineStr">
        <is>
          <t>内蒙古东立光伏</t>
        </is>
      </c>
      <c r="B16" t="inlineStr">
        <is>
          <t>中国</t>
        </is>
      </c>
      <c r="C16" t="inlineStr">
        <is>
          <t>东立光伏（非上市）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0.5</v>
      </c>
      <c r="H16" t="inlineStr">
        <is>
          <t>-</t>
        </is>
      </c>
      <c r="I16" t="n">
        <v>0.49</v>
      </c>
      <c r="J16" t="n">
        <v>0.15</v>
      </c>
      <c r="K16" t="n">
        <v>0</v>
      </c>
      <c r="L16" t="n">
        <v>0</v>
      </c>
      <c r="M16" t="n">
        <v>0.64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>
        <f>IF(AND(ISNUMBER(R16),ISNUMBER(M16),M16&lt;&gt;0),(R16-M16)/M16,"-")</f>
        <v/>
      </c>
      <c r="T16" t="n">
        <v>0</v>
      </c>
      <c r="U16">
        <f>IF(AND(ISNUMBER(T16),ISNUMBER(N16),N16&lt;&gt;0),(T16-N16)/N16,"-")</f>
        <v/>
      </c>
      <c r="V16" t="n">
        <v>0</v>
      </c>
      <c r="W16">
        <f>IF(AND(ISNUMBER(V16),ISNUMBER(O16),O16&lt;&gt;0),(V16-O16)/O16,"-")</f>
        <v/>
      </c>
      <c r="X16" t="n">
        <v>0</v>
      </c>
      <c r="Y16">
        <f>IF(AND(ISNUMBER(X16),ISNUMBER(P16),P16&lt;&gt;0),(X16-P16)/P16,"-")</f>
        <v/>
      </c>
      <c r="Z16" t="inlineStr">
        <is>
          <t>2024Q3 起停产</t>
        </is>
      </c>
      <c r="AA16" t="inlineStr">
        <is>
          <t>无</t>
        </is>
      </c>
      <c r="AB16" t="inlineStr">
        <is>
          <t>非上市，铁合金在线口径</t>
        </is>
      </c>
    </row>
    <row r="17">
      <c r="A17" t="inlineStr">
        <is>
          <t>弘元能源科技</t>
        </is>
      </c>
      <c r="B17" t="inlineStr">
        <is>
          <t>中国</t>
        </is>
      </c>
      <c r="C17" t="inlineStr">
        <is>
          <t>弘元绿能(603185) 旗下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0.8</v>
      </c>
      <c r="H17" t="inlineStr">
        <is>
          <t>-</t>
        </is>
      </c>
      <c r="I17" t="n">
        <v>1.35</v>
      </c>
      <c r="J17" t="n">
        <v>1.31</v>
      </c>
      <c r="K17" t="n">
        <v>1.17</v>
      </c>
      <c r="L17" t="n">
        <v>1.22</v>
      </c>
      <c r="M17" t="n">
        <v>5.05</v>
      </c>
      <c r="N17" t="n">
        <v>1.25</v>
      </c>
      <c r="O17" t="n">
        <v>0.95</v>
      </c>
      <c r="P17" t="n">
        <v>0.8</v>
      </c>
      <c r="Q17" t="n">
        <v>0.9</v>
      </c>
      <c r="R17" t="n">
        <v>3.9</v>
      </c>
      <c r="S17">
        <f>IF(AND(ISNUMBER(R17),ISNUMBER(M17),M17&lt;&gt;0),(R17-M17)/M17,"-")</f>
        <v/>
      </c>
      <c r="T17" t="n">
        <v>1.5</v>
      </c>
      <c r="U17">
        <f>IF(AND(ISNUMBER(T17),ISNUMBER(N17),N17&lt;&gt;0),(T17-N17)/N17,"-")</f>
        <v/>
      </c>
      <c r="V17" t="n">
        <v>1.45</v>
      </c>
      <c r="W17">
        <f>IF(AND(ISNUMBER(V17),ISNUMBER(O17),O17&lt;&gt;0),(V17-O17)/O17,"-")</f>
        <v/>
      </c>
      <c r="X17" t="n">
        <v>0.2</v>
      </c>
      <c r="Y17">
        <f>IF(AND(ISNUMBER(X17),ISNUMBER(P17),P17&lt;&gt;0),(X17-P17)/P17,"-")</f>
        <v/>
      </c>
      <c r="Z17" t="inlineStr">
        <is>
          <t>2026 开工回升</t>
        </is>
      </c>
      <c r="AA17" t="inlineStr">
        <is>
          <t>无</t>
        </is>
      </c>
      <c r="AB17" t="inlineStr">
        <is>
          <t>铁合金在线口径</t>
        </is>
      </c>
    </row>
    <row r="18">
      <c r="A18" t="inlineStr">
        <is>
          <t>聚光硅业</t>
        </is>
      </c>
      <c r="B18" t="inlineStr">
        <is>
          <t>中国</t>
        </is>
      </c>
      <c r="C18" t="inlineStr">
        <is>
          <t>内蒙古聚光硅业（非上市）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0.27</v>
      </c>
      <c r="H18" t="inlineStr">
        <is>
          <t>-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>
        <f>IF(AND(ISNUMBER(R18),ISNUMBER(M18),M18&lt;&gt;0),(R18-M18)/M18,"-")</f>
        <v/>
      </c>
      <c r="T18" t="n">
        <v>0</v>
      </c>
      <c r="U18">
        <f>IF(AND(ISNUMBER(T18),ISNUMBER(N18),N18&lt;&gt;0),(T18-N18)/N18,"-")</f>
        <v/>
      </c>
      <c r="V18" t="n">
        <v>0</v>
      </c>
      <c r="W18">
        <f>IF(AND(ISNUMBER(V18),ISNUMBER(O18),O18&lt;&gt;0),(V18-O18)/O18,"-")</f>
        <v/>
      </c>
      <c r="X18" t="n">
        <v>0</v>
      </c>
      <c r="Y18">
        <f>IF(AND(ISNUMBER(X18),ISNUMBER(P18),P18&lt;&gt;0),(X18-P18)/P18,"-")</f>
        <v/>
      </c>
      <c r="Z18" t="inlineStr">
        <is>
          <t>2024 起停产</t>
        </is>
      </c>
      <c r="AA18" t="inlineStr">
        <is>
          <t>无</t>
        </is>
      </c>
      <c r="AB18" t="inlineStr">
        <is>
          <t>非上市，铁合金在线口径</t>
        </is>
      </c>
    </row>
    <row r="19">
      <c r="A19" t="inlineStr">
        <is>
          <t>润阳</t>
        </is>
      </c>
      <c r="B19" t="inlineStr">
        <is>
          <t>中国</t>
        </is>
      </c>
      <c r="C19" t="inlineStr">
        <is>
          <t>宁夏润阳（非上市）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1.5</v>
      </c>
      <c r="H19" t="inlineStr">
        <is>
          <t>-</t>
        </is>
      </c>
      <c r="I19" t="n">
        <v>1.5</v>
      </c>
      <c r="J19" t="n">
        <v>1.1</v>
      </c>
      <c r="K19" t="n">
        <v>0.55</v>
      </c>
      <c r="L19" t="n">
        <v>0.3</v>
      </c>
      <c r="M19" t="n">
        <v>3.45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>
        <f>IF(AND(ISNUMBER(R19),ISNUMBER(M19),M19&lt;&gt;0),(R19-M19)/M19,"-")</f>
        <v/>
      </c>
      <c r="T19" t="n">
        <v>0</v>
      </c>
      <c r="U19">
        <f>IF(AND(ISNUMBER(T19),ISNUMBER(N19),N19&lt;&gt;0),(T19-N19)/N19,"-")</f>
        <v/>
      </c>
      <c r="V19" t="n">
        <v>0</v>
      </c>
      <c r="W19">
        <f>IF(AND(ISNUMBER(V19),ISNUMBER(O19),O19&lt;&gt;0),(V19-O19)/O19,"-")</f>
        <v/>
      </c>
      <c r="X19" t="n">
        <v>0</v>
      </c>
      <c r="Y19">
        <f>IF(AND(ISNUMBER(X19),ISNUMBER(P19),P19&lt;&gt;0),(X19-P19)/P19,"-")</f>
        <v/>
      </c>
      <c r="Z19" t="inlineStr">
        <is>
          <t>2025 起停产</t>
        </is>
      </c>
      <c r="AA19" t="inlineStr">
        <is>
          <t>无</t>
        </is>
      </c>
      <c r="AB19" t="inlineStr">
        <is>
          <t>非上市，铁合金在线口径</t>
        </is>
      </c>
    </row>
    <row r="20">
      <c r="A20" t="inlineStr">
        <is>
          <t>宝丰</t>
        </is>
      </c>
      <c r="B20" t="inlineStr">
        <is>
          <t>中国</t>
        </is>
      </c>
      <c r="C20" t="inlineStr">
        <is>
          <t>宝丰能源(600989) 旗下·宁夏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0.6</v>
      </c>
      <c r="H20" t="inlineStr">
        <is>
          <t>-</t>
        </is>
      </c>
      <c r="I20" t="n">
        <v>1.2</v>
      </c>
      <c r="J20" t="n">
        <v>0.9</v>
      </c>
      <c r="K20" t="n">
        <v>0.5</v>
      </c>
      <c r="L20" t="n">
        <v>0.42</v>
      </c>
      <c r="M20" t="n">
        <v>3.02</v>
      </c>
      <c r="N20" t="n">
        <v>1.15</v>
      </c>
      <c r="O20" t="n">
        <v>0.1</v>
      </c>
      <c r="P20" t="n">
        <v>0</v>
      </c>
      <c r="Q20" t="n">
        <v>0</v>
      </c>
      <c r="R20" t="n">
        <v>1.25</v>
      </c>
      <c r="S20">
        <f>IF(AND(ISNUMBER(R20),ISNUMBER(M20),M20&lt;&gt;0),(R20-M20)/M20,"-")</f>
        <v/>
      </c>
      <c r="T20" t="n">
        <v>0</v>
      </c>
      <c r="U20">
        <f>IF(AND(ISNUMBER(T20),ISNUMBER(N20),N20&lt;&gt;0),(T20-N20)/N20,"-")</f>
        <v/>
      </c>
      <c r="V20" t="n">
        <v>0</v>
      </c>
      <c r="W20">
        <f>IF(AND(ISNUMBER(V20),ISNUMBER(O20),O20&lt;&gt;0),(V20-O20)/O20,"-")</f>
        <v/>
      </c>
      <c r="X20" t="n">
        <v>0</v>
      </c>
      <c r="Y20">
        <f>IF(AND(ISNUMBER(X20),ISNUMBER(P20),P20&lt;&gt;0),(X20-P20)/P20,"-")</f>
        <v/>
      </c>
      <c r="Z20" t="inlineStr">
        <is>
          <t>2025Q2 起停产（新进入者低负荷后退出）</t>
        </is>
      </c>
      <c r="AA20" t="inlineStr">
        <is>
          <t>无</t>
        </is>
      </c>
      <c r="AB20" t="inlineStr">
        <is>
          <t>铁合金在线口径；新进入者产能锚点</t>
        </is>
      </c>
    </row>
    <row r="21">
      <c r="A21" t="inlineStr">
        <is>
          <t>OCI Holdings</t>
        </is>
      </c>
      <c r="B21" t="inlineStr">
        <is>
          <t>韩国</t>
        </is>
      </c>
      <c r="C21" t="inlineStr">
        <is>
          <t>OCI TerraSus马来西亚多晶硅（群山+砂拉越）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>
        <f>IF(AND(ISNUMBER(R21),ISNUMBER(M21),M21&lt;&gt;0),(R21-M21)/M21,"-")</f>
        <v/>
      </c>
      <c r="T21" t="inlineStr">
        <is>
          <t>未找到</t>
        </is>
      </c>
      <c r="U21">
        <f>IF(AND(ISNUMBER(T21),ISNUMBER(N21),N21&lt;&gt;0),(T21-N21)/N21,"-")</f>
        <v/>
      </c>
      <c r="V21" t="inlineStr">
        <is>
          <t>未找到</t>
        </is>
      </c>
      <c r="W21">
        <f>IF(AND(ISNUMBER(V21),ISNUMBER(O21),O21&lt;&gt;0),(V21-O21)/O21,"-")</f>
        <v/>
      </c>
      <c r="X21" t="inlineStr">
        <is>
          <t>未找到</t>
        </is>
      </c>
      <c r="Z21" t="inlineStr">
        <is>
          <t>OCI 季度 IR 仅披露产能(35kMT/年)+开工率(Q1 15 个月法定检修降负荷、Q2 ~90%)，未披露分季度产量吨数</t>
        </is>
      </c>
      <c r="AA21" t="inlineStr">
        <is>
          <t>无</t>
        </is>
      </c>
      <c r="AB21" t="inlineStr">
        <is>
          <t>季度资料库（≈季后4-6周）；补海外多晶硅缺口；2026-08-18新增骨架行，数据待回填；26Q1/Q2 分季度产量吨数未在 IR 官网披露（仅产能 35kMT/年+开工率），DART 事业报告 생산실적 待人工核查</t>
        </is>
      </c>
    </row>
    <row r="22">
      <c r="A22" s="2" t="inlineStr">
        <is>
          <t>总计</t>
        </is>
      </c>
      <c r="D22">
        <f>SUM(D2:D21)</f>
        <v/>
      </c>
      <c r="E22">
        <f>SUM(E2:E21)</f>
        <v/>
      </c>
      <c r="F22">
        <f>SUM(F2:F21)</f>
        <v/>
      </c>
      <c r="G22">
        <f>SUM(G2:G21)</f>
        <v/>
      </c>
      <c r="H22">
        <f>SUM(H2:H21)</f>
        <v/>
      </c>
      <c r="I22">
        <f>SUM(I2:I21)</f>
        <v/>
      </c>
      <c r="J22">
        <f>SUM(J2:J21)</f>
        <v/>
      </c>
      <c r="K22">
        <f>SUM(K2:K21)</f>
        <v/>
      </c>
      <c r="L22">
        <f>SUM(L2:L21)</f>
        <v/>
      </c>
      <c r="M22">
        <f>SUM(M2:M21)</f>
        <v/>
      </c>
      <c r="N22">
        <f>SUM(N2:N21)</f>
        <v/>
      </c>
      <c r="O22">
        <f>SUM(O2:O21)</f>
        <v/>
      </c>
      <c r="P22">
        <f>SUM(P2:P21)</f>
        <v/>
      </c>
      <c r="Q22">
        <f>SUM(Q2:Q21)</f>
        <v/>
      </c>
      <c r="R22">
        <f>SUM(R2:R21)</f>
        <v/>
      </c>
      <c r="T22">
        <f>SUM(T2:T21)</f>
        <v/>
      </c>
      <c r="V22">
        <f>SUM(V2:V21)</f>
        <v/>
      </c>
      <c r="X22">
        <f>SUM(X2:X21)</f>
        <v/>
      </c>
      <c r="Y22">
        <f>IF(AND(ISNUMBER(X22),ISNUMBER(P22),P22&lt;&gt;0),(X22-P22)/P22,"-")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2" t="inlineStr">
        <is>
          <t>日期</t>
        </is>
      </c>
      <c r="B1" s="2" t="inlineStr">
        <is>
          <t>更新内容</t>
        </is>
      </c>
      <c r="C1" s="2" t="inlineStr">
        <is>
          <t>数据来源</t>
        </is>
      </c>
    </row>
    <row r="2">
      <c r="A2" t="inlineStr">
        <is>
          <t>2026-07-30</t>
        </is>
      </c>
      <c r="B2" t="inlineStr">
        <is>
          <t>建库：多晶硅板块 19 家（铁合金在线分企业月度产量 2023-09 起三月求和为基准；上市公司 2023 年度=年报口径，23Q1-Q3 平台拟合）；工业硅板块 14 行（合盛官方序列 24/25 年报值+26Q1 公告值，季度平台拟合；其余产能锚点占位待回填）</t>
        </is>
      </c>
      <c r="C2" t="inlineStr">
        <is>
          <t>永安期货-光伏产业链平衡.xlsx「多晶硅-铁合金在线-多晶硅产量(手动添加)」；公司年报；合盛硅业 2026-04-30 季度经营数据公告</t>
        </is>
      </c>
    </row>
    <row r="3">
      <c r="A3" t="inlineStr">
        <is>
          <t>2026-08-18</t>
        </is>
      </c>
      <c r="B3" t="inlineStr">
        <is>
          <t>新增骨架行：Ferroglobe（发货量口径需标注，补海外工业硅）；数据列占位待回填</t>
        </is>
      </c>
      <c r="C3" t="inlineStr">
        <is>
          <t>审计建议（16家优先新增+8个跨品种归类修正，2026-08-18）</t>
        </is>
      </c>
    </row>
    <row r="4">
      <c r="A4" t="inlineStr">
        <is>
          <t>2026-08-18</t>
        </is>
      </c>
      <c r="B4" t="inlineStr">
        <is>
          <t>新增骨架行：OCI（TerraSus马来西亚，补海外多晶硅）；数据列占位待回填</t>
        </is>
      </c>
      <c r="C4" t="inlineStr">
        <is>
          <t>审计建议（16家优先新增+8个跨品种归类修正，2026-08-18）</t>
        </is>
      </c>
    </row>
    <row r="5">
      <c r="A5" t="inlineStr">
        <is>
          <t>2026-08-23</t>
        </is>
      </c>
      <c r="B5" t="inlineStr">
        <is>
          <t>补录 26Q1/26Q2：Elkem 硅销量(Silicon Products)26Q1=9.5/26Q2=9.6万吨（Silicones 已剥离，口径=Silicon Products）；Ferroglobe 发货量(硅金属+硅铁)26Q1=9.12/26Q2=10.37万吨；OCI 26Q1/26Q2 未披露分季产量吨数→标"未找到"；合盛 26Q2→标"待披露"(约8月底经营数据公告)</t>
        </is>
      </c>
      <c r="C5" t="inlineStr">
        <is>
          <t>Elkem 2Q2026 报告 Key Figures；Ferroglobe 2026-08-04 业绩新闻稿；OCI Holdings Q1/Q2 2026 IR Presentation；合盛硅业 2026-07-14 半年度业绩预告</t>
        </is>
      </c>
    </row>
    <row r="6">
      <c r="A6" t="inlineStr">
        <is>
          <t>2026-08-31</t>
        </is>
      </c>
      <c r="B6" t="inlineStr">
        <is>
          <t>硅 26Q2 中报核查：新安/兴发/东岳中报均未披露工业硅产量（标'未披露'；新安/兴发有有机硅口径产量可作有机硅板块参考）</t>
        </is>
      </c>
      <c r="C6" t="inlineStr">
        <is>
          <t>三公司2026中报+经营数据公告（巨潮/上交所 8/19-8/24）</t>
        </is>
      </c>
    </row>
    <row r="7">
      <c r="A7" t="inlineStr">
        <is>
          <t>2026-10-08</t>
        </is>
      </c>
      <c r="B7" t="inlineStr">
        <is>
          <t>补录多晶硅 26Q3：铁合金在线 7/8/9 月分企业明细三月求和（全国月度 10.97/11.95/12.13 万吨，19 家全覆盖）；通威 7 月起复产（3/4/4 万吨，Q3=11.0）；东方希望 7 月起归零、弘元 9 月恢复 0.2 万吨；工业硅板块 26Q3 列已开、待合盛 10 月底经营数据公告等回填</t>
        </is>
      </c>
      <c r="C7" t="inlineStr">
        <is>
          <t>cnfeol 白金专栏 7/8/9 月多晶硅企业产量明细（PContentDetail/10/174251、10/175304、10/176462）</t>
        </is>
      </c>
    </row>
    <row r="8">
      <c r="A8" t="inlineStr">
        <is>
          <t>2026-10-26</t>
        </is>
      </c>
      <c r="B8" t="inlineStr">
        <is>
          <t>硅26Q3披露日历核对：合盛/Elkem/Ferroglobe及新安/兴发/东岳标待发布；多晶硅26Q3已于10/8按cnfeol月度明细入库</t>
        </is>
      </c>
      <c r="C8" t="inlineStr">
        <is>
          <t>Elkem 10/29、Ferroglobe 11/3披露日历；合盛及A股定期报告预约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2026-07-30T03:00:18Z</dcterms:created>
  <dcterms:modified xmlns:dcterms="http://purl.org/dc/terms/" xmlns:xsi="http://www.w3.org/2001/XMLSchema-instance" xsi:type="dcterms:W3CDTF">2026-10-26T05:40:24Z</dcterms:modified>
</cp:coreProperties>
</file>