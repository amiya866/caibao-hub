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铅精矿·季度产量" sheetId="1" state="visible" r:id="rId1"/>
    <sheet xmlns:r="http://schemas.openxmlformats.org/officeDocument/2006/relationships" name="精炼铅·季度产量" sheetId="2" state="visible" r:id="rId2"/>
    <sheet xmlns:r="http://schemas.openxmlformats.org/officeDocument/2006/relationships" name="更新日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26" customWidth="1" min="3" max="3"/>
    <col width="13" customWidth="1" min="22" max="22"/>
    <col width="13" customWidth="1" min="23" max="23"/>
    <col width="13" customWidth="1" min="24" max="24"/>
    <col width="13" customWidth="1" min="25" max="25"/>
    <col width="30" customWidth="1" min="26" max="26"/>
  </cols>
  <sheetData>
    <row r="1">
      <c r="A1" s="1" t="inlineStr">
        <is>
          <t>公司</t>
        </is>
      </c>
      <c r="B1" s="1" t="inlineStr">
        <is>
          <t>国家</t>
        </is>
      </c>
      <c r="C1" s="1" t="inlineStr">
        <is>
          <t>项目/口径</t>
        </is>
      </c>
      <c r="D1" s="1" t="inlineStr">
        <is>
          <t>23Q1</t>
        </is>
      </c>
      <c r="E1" s="1" t="inlineStr">
        <is>
          <t>23Q2</t>
        </is>
      </c>
      <c r="F1" s="1" t="inlineStr">
        <is>
          <t>23Q3</t>
        </is>
      </c>
      <c r="G1" s="1" t="inlineStr">
        <is>
          <t>23Q4</t>
        </is>
      </c>
      <c r="H1" s="1" t="inlineStr">
        <is>
          <t>23总计</t>
        </is>
      </c>
      <c r="I1" s="1" t="inlineStr">
        <is>
          <t>24Q1</t>
        </is>
      </c>
      <c r="J1" s="1" t="inlineStr">
        <is>
          <t>24Q2</t>
        </is>
      </c>
      <c r="K1" s="1" t="inlineStr">
        <is>
          <t>24Q3</t>
        </is>
      </c>
      <c r="L1" s="1" t="inlineStr">
        <is>
          <t>24Q4</t>
        </is>
      </c>
      <c r="M1" s="1" t="inlineStr">
        <is>
          <t>24总计</t>
        </is>
      </c>
      <c r="N1" s="1" t="inlineStr">
        <is>
          <t>25Q1</t>
        </is>
      </c>
      <c r="O1" s="1" t="inlineStr">
        <is>
          <t>25Q2</t>
        </is>
      </c>
      <c r="P1" s="1" t="inlineStr">
        <is>
          <t>25Q3</t>
        </is>
      </c>
      <c r="Q1" s="1" t="inlineStr">
        <is>
          <t>25Q4</t>
        </is>
      </c>
      <c r="R1" s="1" t="inlineStr">
        <is>
          <t>25总计</t>
        </is>
      </c>
      <c r="S1" s="1" t="inlineStr">
        <is>
          <t>25同比</t>
        </is>
      </c>
      <c r="T1" s="1" t="inlineStr">
        <is>
          <t>26Q1</t>
        </is>
      </c>
      <c r="U1" s="1" t="inlineStr">
        <is>
          <t>26Q1同比</t>
        </is>
      </c>
      <c r="V1" s="1" t="inlineStr">
        <is>
          <t>26Q2</t>
        </is>
      </c>
      <c r="W1" s="1" t="inlineStr">
        <is>
          <t>26Q2同比</t>
        </is>
      </c>
      <c r="X1" s="1" t="inlineStr">
        <is>
          <t>26Q3</t>
        </is>
      </c>
      <c r="Y1" s="1" t="inlineStr">
        <is>
          <t>26Q3同比</t>
        </is>
      </c>
      <c r="Z1" s="1" t="inlineStr">
        <is>
          <t>变化原因</t>
        </is>
      </c>
      <c r="AA1" s="1" t="inlineStr">
        <is>
          <t>FY2026指引</t>
        </is>
      </c>
      <c r="AB1" s="1" t="inlineStr">
        <is>
          <t>备注</t>
        </is>
      </c>
    </row>
    <row r="2">
      <c r="A2" t="inlineStr">
        <is>
          <t>Glencore</t>
        </is>
      </c>
      <c r="B2" t="inlineStr">
        <is>
          <t>哈萨克斯坦</t>
        </is>
      </c>
      <c r="C2" t="inlineStr">
        <is>
          <t>Kazzinc（铅精矿）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n">
        <v>0.17</v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>
        <f>IF(AND(ISNUMBER(R2),ISNUMBER(M2),M2&lt;&gt;0),(R2-M2)/M2,"-")</f>
        <v/>
      </c>
      <c r="T2" t="n">
        <v>0.01</v>
      </c>
      <c r="U2">
        <f>IF(AND(ISNUMBER(T2),ISNUMBER(N2),N2&lt;&gt;0),(T2-N2)/N2,"-")</f>
        <v/>
      </c>
      <c r="V2" t="n">
        <v>0</v>
      </c>
      <c r="W2">
        <f>IF(AND(ISNUMBER(V2),ISNUMBER(O2),O2&lt;&gt;0),(V2-O2)/O2,"-")</f>
        <v/>
      </c>
      <c r="X2" t="inlineStr">
        <is>
          <t>待发布(2026-10-29)</t>
        </is>
      </c>
      <c r="Y2">
        <f>IF(AND(ISNUMBER(X2),ISNUMBER(P2),P2&lt;&gt;0),(X2-P2)/P2,"-")</f>
        <v/>
      </c>
      <c r="Z2" t="inlineStr">
        <is>
          <t>26Q2 Kazzinc 铅精矿含铅量 nil（26Q1 0.1kt/25Q2 1.7kt），H1 报告季度明细直接披露</t>
        </is>
      </c>
      <c r="AB2" t="inlineStr">
        <is>
          <t>铅精矿含铅量；Kazzinc 铅锌伴生</t>
        </is>
      </c>
    </row>
    <row r="3">
      <c r="A3" t="inlineStr">
        <is>
          <t>Glencore</t>
        </is>
      </c>
      <c r="B3" t="inlineStr">
        <is>
          <t>澳大利亚</t>
        </is>
      </c>
      <c r="C3" t="inlineStr">
        <is>
          <t>McArthur River（铅锌）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1.27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>
        <f>IF(AND(ISNUMBER(R3),ISNUMBER(M3),M3&lt;&gt;0),(R3-M3)/M3,"-")</f>
        <v/>
      </c>
      <c r="T3" t="n">
        <v>1.39</v>
      </c>
      <c r="U3">
        <f>IF(AND(ISNUMBER(T3),ISNUMBER(N3),N3&lt;&gt;0),(T3-N3)/N3,"-")</f>
        <v/>
      </c>
      <c r="V3" t="n">
        <v>1.38</v>
      </c>
      <c r="W3">
        <f>IF(AND(ISNUMBER(V3),ISNUMBER(O3),O3&lt;&gt;0),(V3-O3)/O3,"-")</f>
        <v/>
      </c>
      <c r="X3" t="inlineStr">
        <is>
          <t>待发布(2026-10-29)</t>
        </is>
      </c>
      <c r="Y3">
        <f>IF(AND(ISNUMBER(X3),ISNUMBER(P3),P3&lt;&gt;0),(X3-P3)/P3,"-")</f>
        <v/>
      </c>
      <c r="Z3" t="inlineStr">
        <is>
          <t>26Q2 McArthur River 铅精矿 13.8kt（26Q1 13.9/25Q2 12.7），H1 报告直接披露</t>
        </is>
      </c>
      <c r="AB3" t="inlineStr">
        <is>
          <t>铅精矿含铅量</t>
        </is>
      </c>
    </row>
    <row r="4">
      <c r="A4" t="inlineStr">
        <is>
          <t>Glencore</t>
        </is>
      </c>
      <c r="B4" t="inlineStr">
        <is>
          <t>澳大利亚</t>
        </is>
      </c>
      <c r="C4" t="inlineStr">
        <is>
          <t>Mount Isa（铅锌）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2.16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>
        <f>IF(AND(ISNUMBER(R4),ISNUMBER(M4),M4&lt;&gt;0),(R4-M4)/M4,"-")</f>
        <v/>
      </c>
      <c r="T4" t="n">
        <v>1.98</v>
      </c>
      <c r="U4">
        <f>IF(AND(ISNUMBER(T4),ISNUMBER(N4),N4&lt;&gt;0),(T4-N4)/N4,"-")</f>
        <v/>
      </c>
      <c r="V4" t="n">
        <v>2.03</v>
      </c>
      <c r="W4">
        <f>IF(AND(ISNUMBER(V4),ISNUMBER(O4),O4&lt;&gt;0),(V4-O4)/O4,"-")</f>
        <v/>
      </c>
      <c r="X4" t="inlineStr">
        <is>
          <t>待发布(2026-10-29)</t>
        </is>
      </c>
      <c r="Y4">
        <f>IF(AND(ISNUMBER(X4),ISNUMBER(P4),P4&lt;&gt;0),(X4-P4)/P4,"-")</f>
        <v/>
      </c>
      <c r="Z4" t="inlineStr">
        <is>
          <t>26Q2 Mount Isa 铅精矿 20.3kt（26Q1 19.8/25Q2 21.6），H1 报告直接披露</t>
        </is>
      </c>
      <c r="AB4" t="inlineStr">
        <is>
          <t>铅精矿含铅量</t>
        </is>
      </c>
    </row>
    <row r="5">
      <c r="A5" t="inlineStr">
        <is>
          <t>TECK</t>
        </is>
      </c>
      <c r="B5" t="inlineStr">
        <is>
          <t>加拿大</t>
        </is>
      </c>
      <c r="C5" t="inlineStr">
        <is>
          <t>Red Dog（铅精矿）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n">
        <v>2.75</v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>
        <f>IF(AND(ISNUMBER(R5),ISNUMBER(M5),M5&lt;&gt;0),(R5-M5)/M5,"-")</f>
        <v/>
      </c>
      <c r="T5" t="n">
        <v>2.16</v>
      </c>
      <c r="U5">
        <f>IF(AND(ISNUMBER(T5),ISNUMBER(N5),N5&lt;&gt;0),(T5-N5)/N5,"-")</f>
        <v/>
      </c>
      <c r="V5" t="n">
        <v>2.19</v>
      </c>
      <c r="W5">
        <f>IF(AND(ISNUMBER(V5),ISNUMBER(O5),O5&lt;&gt;0),(V5-O5)/O5,"-")</f>
        <v/>
      </c>
      <c r="X5" t="inlineStr">
        <is>
          <t>待发布(2026-10-29)</t>
        </is>
      </c>
      <c r="Y5">
        <f>IF(AND(ISNUMBER(X5),ISNUMBER(P5),P5&lt;&gt;0),(X5-P5)/P5,"-")</f>
        <v/>
      </c>
      <c r="Z5" t="inlineStr">
        <is>
          <t>26Q2 Red Dog 铅精矿含铅量 21.9kt（26Q1 21.6/25Q2 27.5，同比-20%），Teck Q2 2026 新闻稿</t>
        </is>
      </c>
      <c r="AB5" t="inlineStr">
        <is>
          <t>铅精矿含铅量；Teck 100% 口径</t>
        </is>
      </c>
    </row>
    <row r="6">
      <c r="A6" t="inlineStr">
        <is>
          <t>BOLIDEN</t>
        </is>
      </c>
      <c r="B6" t="inlineStr">
        <is>
          <t>爱尔兰</t>
        </is>
      </c>
      <c r="C6" t="inlineStr">
        <is>
          <t>Tara（铅锌）</t>
        </is>
      </c>
      <c r="D6" t="n">
        <v>0.3406</v>
      </c>
      <c r="E6" t="n">
        <v>0.3398</v>
      </c>
      <c r="F6" t="n">
        <v>0.0215</v>
      </c>
      <c r="G6" t="n">
        <v>0</v>
      </c>
      <c r="H6" t="n">
        <v>0.7019</v>
      </c>
      <c r="I6" t="n">
        <v>0</v>
      </c>
      <c r="J6" t="n">
        <v>0</v>
      </c>
      <c r="K6" t="n">
        <v>0</v>
      </c>
      <c r="L6" t="n">
        <v>0.0861</v>
      </c>
      <c r="M6" t="n">
        <v>0.0861</v>
      </c>
      <c r="N6" t="n">
        <v>0.1891</v>
      </c>
      <c r="O6" t="n">
        <v>0.1861</v>
      </c>
      <c r="P6" t="n">
        <v>0.2129</v>
      </c>
      <c r="Q6" t="n">
        <v>0.1426</v>
      </c>
      <c r="R6" t="n">
        <v>0.7307</v>
      </c>
      <c r="S6">
        <f>IF(AND(ISNUMBER(R6),ISNUMBER(M6),M6&lt;&gt;0),(R6-M6)/M6,"-")</f>
        <v/>
      </c>
      <c r="T6" t="n">
        <v>0.1845</v>
      </c>
      <c r="U6">
        <f>IF(AND(ISNUMBER(T6),ISNUMBER(N6),N6&lt;&gt;0),(T6-N6)/N6,"-")</f>
        <v/>
      </c>
      <c r="V6" t="n">
        <v>0.2015</v>
      </c>
      <c r="W6">
        <f>IF(AND(ISNUMBER(V6),ISNUMBER(O6),O6&lt;&gt;0),(V6-O6)/O6,"-")</f>
        <v/>
      </c>
      <c r="X6" t="inlineStr">
        <is>
          <t>待发布(2026-10-29)</t>
        </is>
      </c>
      <c r="Y6">
        <f>IF(AND(ISNUMBER(X6),ISNUMBER(P6),P6&lt;&gt;0),(X6-P6)/P6,"-")</f>
        <v/>
      </c>
      <c r="AB6" t="inlineStr">
        <is>
          <t>铅精矿含铅量；来源：Boliden官方季报(2026-08-18核查)；2023-07停产→2024Q4复产</t>
        </is>
      </c>
    </row>
    <row r="7">
      <c r="A7" t="inlineStr">
        <is>
          <t>BOLIDEN</t>
        </is>
      </c>
      <c r="B7" t="inlineStr">
        <is>
          <t>瑞典</t>
        </is>
      </c>
      <c r="C7" t="inlineStr">
        <is>
          <t>Garpenberg（铅锌）</t>
        </is>
      </c>
      <c r="D7" t="n">
        <v>0.8964</v>
      </c>
      <c r="E7" t="n">
        <v>0.9417</v>
      </c>
      <c r="F7" t="n">
        <v>0.8764</v>
      </c>
      <c r="G7" t="n">
        <v>0.8704</v>
      </c>
      <c r="H7" t="n">
        <v>3.5849</v>
      </c>
      <c r="I7" t="n">
        <v>1.0856</v>
      </c>
      <c r="J7" t="n">
        <v>0.9197</v>
      </c>
      <c r="K7" t="n">
        <v>1.1203</v>
      </c>
      <c r="L7" t="n">
        <v>0.9183</v>
      </c>
      <c r="M7" t="n">
        <v>4.0439</v>
      </c>
      <c r="N7" t="n">
        <v>0.9164</v>
      </c>
      <c r="O7" t="n">
        <v>0.9227</v>
      </c>
      <c r="P7" t="n">
        <v>1.0728</v>
      </c>
      <c r="Q7" t="n">
        <v>0.9573</v>
      </c>
      <c r="R7" t="n">
        <v>3.8692</v>
      </c>
      <c r="S7">
        <f>IF(AND(ISNUMBER(R7),ISNUMBER(M7),M7&lt;&gt;0),(R7-M7)/M7,"-")</f>
        <v/>
      </c>
      <c r="T7" t="n">
        <v>0.7815</v>
      </c>
      <c r="U7">
        <f>IF(AND(ISNUMBER(T7),ISNUMBER(N7),N7&lt;&gt;0),(T7-N7)/N7,"-")</f>
        <v/>
      </c>
      <c r="V7" t="n">
        <v>0.0793</v>
      </c>
      <c r="W7">
        <f>IF(AND(ISNUMBER(V7),ISNUMBER(O7),O7&lt;&gt;0),(V7-O7)/O7,"-")</f>
        <v/>
      </c>
      <c r="X7" t="inlineStr">
        <is>
          <t>待发布(2026-10-29)</t>
        </is>
      </c>
      <c r="Y7">
        <f>IF(AND(ISNUMBER(X7),ISNUMBER(P7),P7&lt;&gt;0),(X7-P7)/P7,"-")</f>
        <v/>
      </c>
      <c r="AB7" t="inlineStr">
        <is>
          <t>铅精矿含铅量；来源：Boliden官方季报(2026-08-18核查)；2026-03岩爆停产,26Q2仅793t环比-90%</t>
        </is>
      </c>
    </row>
    <row r="8">
      <c r="A8" t="inlineStr">
        <is>
          <t>NEXA</t>
        </is>
      </c>
      <c r="B8" t="inlineStr">
        <is>
          <t>秘鲁</t>
        </is>
      </c>
      <c r="C8" t="inlineStr">
        <is>
          <t>Cerro Lindo（铅锌）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n">
        <v>0.25</v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>
        <f>IF(AND(ISNUMBER(R8),ISNUMBER(M8),M8&lt;&gt;0),(R8-M8)/M8,"-")</f>
        <v/>
      </c>
      <c r="T8" t="n">
        <v>0.24</v>
      </c>
      <c r="U8">
        <f>IF(AND(ISNUMBER(T8),ISNUMBER(N8),N8&lt;&gt;0),(T8-N8)/N8,"-")</f>
        <v/>
      </c>
      <c r="V8" t="n">
        <v>0.27</v>
      </c>
      <c r="W8">
        <f>IF(AND(ISNUMBER(V8),ISNUMBER(O8),O8&lt;&gt;0),(V8-O8)/O8,"-")</f>
        <v/>
      </c>
      <c r="X8" t="inlineStr">
        <is>
          <t>待发布(2026-10-29)</t>
        </is>
      </c>
      <c r="Y8">
        <f>IF(AND(ISNUMBER(X8),ISNUMBER(P8),P8&lt;&gt;0),(X8-P8)/P8,"-")</f>
        <v/>
      </c>
      <c r="Z8" t="inlineStr">
        <is>
          <t>2Q26 Cerro Lindo 铅精矿含铅 2.7kt（+9% YoY/+15% QoQ，品位支撑；block caving 6 月末投产 7 月常态运行）；1H26=5.1kt。源：Nexa 2Q26 6-K 分矿表（SEC 8/5）</t>
        </is>
      </c>
      <c r="AB8" t="inlineStr">
        <is>
          <t>铅精矿含铅量</t>
        </is>
      </c>
    </row>
    <row r="9">
      <c r="A9" t="inlineStr">
        <is>
          <t>NEXA</t>
        </is>
      </c>
      <c r="B9" t="inlineStr">
        <is>
          <t>巴西</t>
        </is>
      </c>
      <c r="C9" t="inlineStr">
        <is>
          <t>Vazante（铅锌）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>
        <f>IF(AND(ISNUMBER(R9),ISNUMBER(M9),M9&lt;&gt;0),(R9-M9)/M9,"-")</f>
        <v/>
      </c>
      <c r="T9" t="n">
        <v>0.0148</v>
      </c>
      <c r="U9">
        <f>IF(AND(ISNUMBER(T9),ISNUMBER(N9),N9&lt;&gt;0),(T9-N9)/N9,"-")</f>
        <v/>
      </c>
      <c r="V9" t="n">
        <v>0.0132</v>
      </c>
      <c r="W9">
        <f>IF(AND(ISNUMBER(V9),ISNUMBER(O9),O9&lt;&gt;0),(V9-O9)/O9,"-")</f>
        <v/>
      </c>
      <c r="X9" t="inlineStr">
        <is>
          <t>待发布(2026-10-29)</t>
        </is>
      </c>
      <c r="Y9">
        <f>IF(AND(ISNUMBER(X9),ISNUMBER(P9),P9&lt;&gt;0),(X9-P9)/P9,"-")</f>
        <v/>
      </c>
      <c r="Z9" t="inlineStr">
        <is>
          <t>2Q26 Vazante 铅 132t=0.0132 万吨（-36% YoY，微量副产，官方称对经济性影响有限）；1H26=280t；26Q1=0.0148 为环比-11% 反推（推算注明）。源：Nexa 2Q26 6-K（SEC 8/5）</t>
        </is>
      </c>
      <c r="AB9" t="inlineStr">
        <is>
          <t>铅精矿含铅量</t>
        </is>
      </c>
    </row>
    <row r="10">
      <c r="A10" t="inlineStr">
        <is>
          <t>MMG</t>
        </is>
      </c>
      <c r="B10" t="inlineStr">
        <is>
          <t>澳大利亚</t>
        </is>
      </c>
      <c r="C10" t="inlineStr">
        <is>
          <t>Rosebery（铅锌）</t>
        </is>
      </c>
      <c r="D10" t="n">
        <v>0.3431</v>
      </c>
      <c r="E10" t="n">
        <v>0.5206</v>
      </c>
      <c r="F10" t="n">
        <v>0.4713</v>
      </c>
      <c r="G10" t="n">
        <v>0.5797</v>
      </c>
      <c r="H10" t="n">
        <v>1.9147</v>
      </c>
      <c r="I10" t="n">
        <v>0.5202</v>
      </c>
      <c r="J10" t="n">
        <v>0.5768</v>
      </c>
      <c r="K10" t="n">
        <v>0.4285</v>
      </c>
      <c r="L10" t="n">
        <v>0.5624</v>
      </c>
      <c r="M10" t="n">
        <v>2.0879</v>
      </c>
      <c r="N10" t="n">
        <v>0.3712</v>
      </c>
      <c r="O10" t="n">
        <v>0.4635</v>
      </c>
      <c r="P10" t="n">
        <v>0.4047</v>
      </c>
      <c r="Q10" t="n">
        <v>0.5548</v>
      </c>
      <c r="R10" t="n">
        <v>1.7942</v>
      </c>
      <c r="S10">
        <f>IF(AND(ISNUMBER(R10),ISNUMBER(M10),M10&lt;&gt;0),(R10-M10)/M10,"-")</f>
        <v/>
      </c>
      <c r="T10" t="n">
        <v>0.3756</v>
      </c>
      <c r="U10">
        <f>IF(AND(ISNUMBER(T10),ISNUMBER(N10),N10&lt;&gt;0),(T10-N10)/N10,"-")</f>
        <v/>
      </c>
      <c r="V10" t="n">
        <v>0.4093</v>
      </c>
      <c r="W10">
        <f>IF(AND(ISNUMBER(V10),ISNUMBER(O10),O10&lt;&gt;0),(V10-O10)/O10,"-")</f>
        <v/>
      </c>
      <c r="X10" t="n">
        <v>0.2969</v>
      </c>
      <c r="Y10">
        <f>IF(AND(ISNUMBER(X10),ISNUMBER(P10),P10&lt;&gt;0),(X10-P10)/P10,"-")</f>
        <v/>
      </c>
      <c r="Z10" t="inlineStr">
        <is>
          <t>26Q3 Rosebery铅精矿含铅2,969吨=0.2969万吨，同比-27%；MMG Q3官方报告</t>
        </is>
      </c>
      <c r="AB10" t="inlineStr">
        <is>
          <t>铅精矿含铅量；100% 矿山口径；来源：MMG港交所季度生产报告(2026-08-18核查)；100%矿山口径</t>
        </is>
      </c>
    </row>
    <row r="11">
      <c r="A11" t="inlineStr">
        <is>
          <t>MMG</t>
        </is>
      </c>
      <c r="B11" t="inlineStr">
        <is>
          <t>澳大利亚</t>
        </is>
      </c>
      <c r="C11" t="inlineStr">
        <is>
          <t>Dugald River（锌为主）</t>
        </is>
      </c>
      <c r="D11" t="n">
        <v>0.2261</v>
      </c>
      <c r="E11" t="n">
        <v>0.4279</v>
      </c>
      <c r="F11" t="n">
        <v>0.6441</v>
      </c>
      <c r="G11" t="n">
        <v>0.6927</v>
      </c>
      <c r="H11" t="n">
        <v>1.9907</v>
      </c>
      <c r="I11" t="n">
        <v>0.6181</v>
      </c>
      <c r="J11" t="n">
        <v>0.4618</v>
      </c>
      <c r="K11" t="n">
        <v>0.4295</v>
      </c>
      <c r="L11" t="n">
        <v>0.5687</v>
      </c>
      <c r="M11" t="n">
        <v>2.0781</v>
      </c>
      <c r="N11" t="n">
        <v>0.5004999999999999</v>
      </c>
      <c r="O11" t="n">
        <v>0.3801</v>
      </c>
      <c r="P11" t="n">
        <v>0.5778</v>
      </c>
      <c r="Q11" t="n">
        <v>0.7082000000000001</v>
      </c>
      <c r="R11" t="n">
        <v>2.1666</v>
      </c>
      <c r="S11">
        <f>IF(AND(ISNUMBER(R11),ISNUMBER(M11),M11&lt;&gt;0),(R11-M11)/M11,"-")</f>
        <v/>
      </c>
      <c r="T11" t="n">
        <v>0.5058</v>
      </c>
      <c r="U11">
        <f>IF(AND(ISNUMBER(T11),ISNUMBER(N11),N11&lt;&gt;0),(T11-N11)/N11,"-")</f>
        <v/>
      </c>
      <c r="V11" t="n">
        <v>0.5799</v>
      </c>
      <c r="W11">
        <f>IF(AND(ISNUMBER(V11),ISNUMBER(O11),O11&lt;&gt;0),(V11-O11)/O11,"-")</f>
        <v/>
      </c>
      <c r="X11" t="n">
        <v>0.6633</v>
      </c>
      <c r="Y11">
        <f>IF(AND(ISNUMBER(X11),ISNUMBER(P11),P11&lt;&gt;0),(X11-P11)/P11,"-")</f>
        <v/>
      </c>
      <c r="Z11" t="inlineStr">
        <is>
          <t>26Q3 Dugald River铅精矿含铅6,633吨=0.6633万吨，同比+15%；MMG Q3官方报告</t>
        </is>
      </c>
      <c r="AB11" t="inlineStr">
        <is>
          <t>铅精矿含铅量（伴生少量）；来源：MMG港交所季度生产报告(2026-08-18核查)；2025创纪录</t>
        </is>
      </c>
    </row>
    <row r="12">
      <c r="A12" t="inlineStr">
        <is>
          <t>South32</t>
        </is>
      </c>
      <c r="B12" t="inlineStr">
        <is>
          <t>澳大利亚</t>
        </is>
      </c>
      <c r="C12" t="inlineStr">
        <is>
          <t>Cannington（铅银矿）</t>
        </is>
      </c>
      <c r="D12" t="n">
        <v>2.1</v>
      </c>
      <c r="E12" t="n">
        <v>2.83</v>
      </c>
      <c r="F12" t="n">
        <v>2.85</v>
      </c>
      <c r="G12" t="n">
        <v>3.03</v>
      </c>
      <c r="H12" t="n">
        <v>10.81</v>
      </c>
      <c r="I12" t="n">
        <v>2.48</v>
      </c>
      <c r="J12" t="n">
        <v>2.88</v>
      </c>
      <c r="K12" t="n">
        <v>1.93</v>
      </c>
      <c r="L12" t="n">
        <v>3.03</v>
      </c>
      <c r="M12" t="n">
        <v>10.32</v>
      </c>
      <c r="N12" t="n">
        <v>1.77</v>
      </c>
      <c r="O12" t="n">
        <v>2.51</v>
      </c>
      <c r="P12" t="n">
        <v>2.13</v>
      </c>
      <c r="Q12" t="n">
        <v>2.1</v>
      </c>
      <c r="R12" t="n">
        <v>8.51</v>
      </c>
      <c r="S12">
        <f>IF(AND(ISNUMBER(R12),ISNUMBER(M12),M12&lt;&gt;0),(R12-M12)/M12,"-")</f>
        <v/>
      </c>
      <c r="T12" t="n">
        <v>1.78</v>
      </c>
      <c r="U12">
        <f>IF(AND(ISNUMBER(T12),ISNUMBER(N12),N12&lt;&gt;0),(T12-N12)/N12,"-")</f>
        <v/>
      </c>
      <c r="V12" t="n">
        <v>2.28</v>
      </c>
      <c r="W12">
        <f>IF(AND(ISNUMBER(V12),ISNUMBER(O12),O12&lt;&gt;0),(V12-O12)/O12,"-")</f>
        <v/>
      </c>
      <c r="X12" t="n">
        <v>1.6</v>
      </c>
      <c r="Y12">
        <f>IF(AND(ISNUMBER(X12),ISNUMBER(P12),P12&lt;&gt;0),(X12-P12)/P12,"-")</f>
        <v/>
      </c>
      <c r="Z12" t="inlineStr">
        <is>
          <t>26Q3 Cannington应付铅16.0kt=1.6万吨，同比-25%/环比-30%：回填浆供应暂时不足、低品位库存矿补磨；South32 FY27Q1</t>
        </is>
      </c>
      <c r="AB12" t="inlineStr">
        <is>
          <t>铅精矿含铅量；财年止6月，权益口径；来源：South32季报SENS(2026-08-18核查)；应付铅payable权益口径,财年止6月已映射自然季,年度为自然年加总</t>
        </is>
      </c>
    </row>
    <row r="13">
      <c r="A13" t="inlineStr">
        <is>
          <t>Vedanta</t>
        </is>
      </c>
      <c r="B13" t="inlineStr">
        <is>
          <t>印度</t>
        </is>
      </c>
      <c r="C13" t="inlineStr">
        <is>
          <t>Zinc India（铅锌）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n">
        <v>22.3</v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n">
        <v>22.41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n">
        <v>23.16</v>
      </c>
      <c r="S13">
        <f>IF(AND(ISNUMBER(R13),ISNUMBER(M13),M13&lt;&gt;0),(R13-M13)/M13,"-")</f>
        <v/>
      </c>
      <c r="T13" t="inlineStr">
        <is>
          <t>-</t>
        </is>
      </c>
      <c r="U13">
        <f>IF(AND(ISNUMBER(T13),ISNUMBER(N13),N13&lt;&gt;0),(T13-N13)/N13,"-")</f>
        <v/>
      </c>
      <c r="V13" t="inlineStr">
        <is>
          <t>-</t>
        </is>
      </c>
      <c r="W13">
        <f>IF(AND(ISNUMBER(V13),ISNUMBER(O13),O13&lt;&gt;0),(V13-O13)/O13,"-")</f>
        <v/>
      </c>
      <c r="X13" t="inlineStr">
        <is>
          <t>-</t>
        </is>
      </c>
      <c r="Y13">
        <f>IF(AND(ISNUMBER(X13),ISNUMBER(P13),P13&lt;&gt;0),(X13-P13)/P13,"-")</f>
        <v/>
      </c>
      <c r="AB13" t="inlineStr">
        <is>
          <t>铅精矿含铅量；财年止3月；来源：HZL年报KPI(2026-08-18核查)；矿产铅财年口径(止3月),季度不拆分披露</t>
        </is>
      </c>
    </row>
    <row r="14">
      <c r="A14" t="inlineStr">
        <is>
          <t>Peñoles</t>
        </is>
      </c>
      <c r="B14" t="inlineStr">
        <is>
          <t>墨西哥</t>
        </is>
      </c>
      <c r="C14" t="inlineStr">
        <is>
          <t>多矿（铅锌）</t>
        </is>
      </c>
      <c r="D14" t="n">
        <v>1.904</v>
      </c>
      <c r="E14" t="n">
        <v>2.103</v>
      </c>
      <c r="F14" t="n">
        <v>2.206</v>
      </c>
      <c r="G14" t="n">
        <v>2.33</v>
      </c>
      <c r="H14" t="n">
        <v>8.542999999999999</v>
      </c>
      <c r="I14" t="n">
        <v>2.143</v>
      </c>
      <c r="J14" t="n">
        <v>2.345</v>
      </c>
      <c r="K14" t="n">
        <v>2.349</v>
      </c>
      <c r="L14" t="n">
        <v>2.128</v>
      </c>
      <c r="M14" t="n">
        <v>8.965</v>
      </c>
      <c r="N14" t="n">
        <v>1.948</v>
      </c>
      <c r="O14" t="n">
        <v>1.992</v>
      </c>
      <c r="P14" t="n">
        <v>2.22</v>
      </c>
      <c r="Q14" t="n">
        <v>2.357</v>
      </c>
      <c r="R14" t="n">
        <v>8.516</v>
      </c>
      <c r="S14">
        <f>IF(AND(ISNUMBER(R14),ISNUMBER(M14),M14&lt;&gt;0),(R14-M14)/M14,"-")</f>
        <v/>
      </c>
      <c r="T14" t="n">
        <v>2.35</v>
      </c>
      <c r="U14">
        <f>IF(AND(ISNUMBER(T14),ISNUMBER(N14),N14&lt;&gt;0),(T14-N14)/N14,"-")</f>
        <v/>
      </c>
      <c r="V14" t="n">
        <v>2.563</v>
      </c>
      <c r="W14">
        <f>IF(AND(ISNUMBER(V14),ISNUMBER(O14),O14&lt;&gt;0),(V14-O14)/O14,"-")</f>
        <v/>
      </c>
      <c r="X14" t="inlineStr">
        <is>
          <t>待发布(预计2026-10-26)</t>
        </is>
      </c>
      <c r="Y14">
        <f>IF(AND(ISNUMBER(X14),ISNUMBER(P14),P14&lt;&gt;0),(X14-P14)/P14,"-")</f>
        <v/>
      </c>
      <c r="AB14" t="inlineStr">
        <is>
          <t>铅精矿含铅量；来源：Peñoles官网季报PDF(2026-08-18核查)；合并口径含Fresnillo 100%+Juanicipio,与Fresnillo行严禁相加</t>
        </is>
      </c>
    </row>
    <row r="15">
      <c r="A15" t="inlineStr">
        <is>
          <t>Volcan</t>
        </is>
      </c>
      <c r="B15" t="inlineStr">
        <is>
          <t>秘鲁</t>
        </is>
      </c>
      <c r="C15" t="inlineStr">
        <is>
          <t>多矿（铅锌）</t>
        </is>
      </c>
      <c r="D15" t="n">
        <v>1.32</v>
      </c>
      <c r="E15" t="n">
        <v>1.53</v>
      </c>
      <c r="F15" t="n">
        <v>1.69</v>
      </c>
      <c r="G15" t="n">
        <v>1.55</v>
      </c>
      <c r="H15" t="n">
        <v>6.08</v>
      </c>
      <c r="I15" t="n">
        <v>1.12</v>
      </c>
      <c r="J15" t="n">
        <v>1.24</v>
      </c>
      <c r="K15" t="n">
        <v>1.51</v>
      </c>
      <c r="L15" t="n">
        <v>1.59</v>
      </c>
      <c r="M15" t="n">
        <v>5.46</v>
      </c>
      <c r="N15" t="n">
        <v>1.61</v>
      </c>
      <c r="O15" t="n">
        <v>1.61</v>
      </c>
      <c r="P15" t="n">
        <v>1.64</v>
      </c>
      <c r="Q15" t="n">
        <v>1.51</v>
      </c>
      <c r="R15" t="n">
        <v>6.37</v>
      </c>
      <c r="S15">
        <f>IF(AND(ISNUMBER(R15),ISNUMBER(M15),M15&lt;&gt;0),(R15-M15)/M15,"-")</f>
        <v/>
      </c>
      <c r="T15" t="n">
        <v>1.28</v>
      </c>
      <c r="U15">
        <f>IF(AND(ISNUMBER(T15),ISNUMBER(N15),N15&lt;&gt;0),(T15-N15)/N15,"-")</f>
        <v/>
      </c>
      <c r="V15" t="n">
        <v>1.48</v>
      </c>
      <c r="W15">
        <f>IF(AND(ISNUMBER(V15),ISNUMBER(O15),O15&lt;&gt;0),(V15-O15)/O15,"-")</f>
        <v/>
      </c>
      <c r="X15" t="inlineStr">
        <is>
          <t>待发布(预计2026-10月末)</t>
        </is>
      </c>
      <c r="Y15">
        <f>IF(AND(ISNUMBER(X15),ISNUMBER(P15),P15&lt;&gt;0),(X15-P15)/P15,"-")</f>
        <v/>
      </c>
      <c r="AB15" t="inlineStr">
        <is>
          <t>铅精矿含铅量；来源：Volcan BVL/SMV季报(2026-08-18核查)；2026起口径含附加金属,与此前不完全可比;2026指引6.5-7.5万吨</t>
        </is>
      </c>
    </row>
    <row r="16">
      <c r="A16" t="inlineStr">
        <is>
          <t>Fresnillo</t>
        </is>
      </c>
      <c r="B16" t="inlineStr">
        <is>
          <t>墨西哥</t>
        </is>
      </c>
      <c r="C16" t="inlineStr">
        <is>
          <t>Fresnillo/Saucito（铅银）</t>
        </is>
      </c>
      <c r="D16" t="n">
        <v>1.337</v>
      </c>
      <c r="E16" t="n">
        <v>1.399</v>
      </c>
      <c r="F16" t="n">
        <v>1.458</v>
      </c>
      <c r="G16" t="n">
        <v>1.59</v>
      </c>
      <c r="H16" t="n">
        <v>5.783</v>
      </c>
      <c r="I16" t="n">
        <v>1.492</v>
      </c>
      <c r="J16" t="n">
        <v>1.691</v>
      </c>
      <c r="K16" t="n">
        <v>1.771</v>
      </c>
      <c r="L16" t="n">
        <v>1.686</v>
      </c>
      <c r="M16" t="n">
        <v>6.64</v>
      </c>
      <c r="N16" t="n">
        <v>1.503</v>
      </c>
      <c r="O16" t="n">
        <v>1.515</v>
      </c>
      <c r="P16" t="n">
        <v>1.536</v>
      </c>
      <c r="Q16" t="n">
        <v>1.654</v>
      </c>
      <c r="R16" t="n">
        <v>6.208</v>
      </c>
      <c r="S16">
        <f>IF(AND(ISNUMBER(R16),ISNUMBER(M16),M16&lt;&gt;0),(R16-M16)/M16,"-")</f>
        <v/>
      </c>
      <c r="T16" t="n">
        <v>1.539</v>
      </c>
      <c r="U16">
        <f>IF(AND(ISNUMBER(T16),ISNUMBER(N16),N16&lt;&gt;0),(T16-N16)/N16,"-")</f>
        <v/>
      </c>
      <c r="V16" t="n">
        <v>1.744</v>
      </c>
      <c r="W16">
        <f>IF(AND(ISNUMBER(V16),ISNUMBER(O16),O16&lt;&gt;0),(V16-O16)/O16,"-")</f>
        <v/>
      </c>
      <c r="X16" t="n">
        <v>1.6417</v>
      </c>
      <c r="Y16">
        <f>IF(AND(ISNUMBER(X16),ISNUMBER(P16),P16&lt;&gt;0),(X16-P16)/P16,"-")</f>
        <v/>
      </c>
      <c r="Z16" t="inlineStr">
        <is>
          <t>26Q3权益铅16,417吨=1.6417万吨，同比+6.9%/环比-5.9%；Fresnillo 3Q26</t>
        </is>
      </c>
      <c r="AB16" t="inlineStr">
        <is>
          <t>铅精矿含铅量；来源：Fresnillo LSE RNS全文(2026-08-18核查)；100%合并口径;2026指引6.5-7.0万吨</t>
        </is>
      </c>
    </row>
    <row r="17">
      <c r="A17" t="inlineStr">
        <is>
          <t>BHP</t>
        </is>
      </c>
      <c r="B17" t="inlineStr">
        <is>
          <t>秘鲁</t>
        </is>
      </c>
      <c r="C17" t="inlineStr">
        <is>
          <t>Antamina（33.75%权益）</t>
        </is>
      </c>
      <c r="D17" t="n">
        <v>0.0169</v>
      </c>
      <c r="E17" t="n">
        <v>0.0146</v>
      </c>
      <c r="F17" t="n">
        <v>0.009599999999999999</v>
      </c>
      <c r="G17" t="n">
        <v>0.0105</v>
      </c>
      <c r="H17" t="n">
        <v>0.0516</v>
      </c>
      <c r="I17" t="n">
        <v>0</v>
      </c>
      <c r="J17" t="n">
        <v>0.0131</v>
      </c>
      <c r="K17" t="n">
        <v>0.0021</v>
      </c>
      <c r="L17" t="n">
        <v>0.0148</v>
      </c>
      <c r="M17" t="n">
        <v>0.03</v>
      </c>
      <c r="N17" t="n">
        <v>0.0234</v>
      </c>
      <c r="O17" t="n">
        <v>0.1829</v>
      </c>
      <c r="P17" t="n">
        <v>0.07539999999999999</v>
      </c>
      <c r="Q17" t="n">
        <v>0.0091</v>
      </c>
      <c r="R17" t="n">
        <v>0.2908</v>
      </c>
      <c r="S17">
        <f>IF(AND(ISNUMBER(R17),ISNUMBER(M17),M17&lt;&gt;0),(R17-M17)/M17,"-")</f>
        <v/>
      </c>
      <c r="T17" t="n">
        <v>0.0209</v>
      </c>
      <c r="U17">
        <f>IF(AND(ISNUMBER(T17),ISNUMBER(N17),N17&lt;&gt;0),(T17-N17)/N17,"-")</f>
        <v/>
      </c>
      <c r="V17" t="n">
        <v>0.0225</v>
      </c>
      <c r="W17">
        <f>IF(AND(ISNUMBER(V17),ISNUMBER(O17),O17&lt;&gt;0),(V17-O17)/O17,"-")</f>
        <v/>
      </c>
      <c r="X17" t="n">
        <v>0.0073</v>
      </c>
      <c r="Y17">
        <f>IF(AND(ISNUMBER(X17),ISNUMBER(P17),P17&lt;&gt;0),(X17-P17)/P17,"-")</f>
        <v/>
      </c>
      <c r="Z17" t="inlineStr">
        <is>
          <t>26Q3 Antamina应付铅73吨=0.0073万吨（33.75%权益）；BHP FY27Q1官方附录</t>
        </is>
      </c>
      <c r="AB17" t="inlineStr">
        <is>
          <t>铅精矿含铅量；权益口径，财年止6月；来源：BHP 6-K运营报告(2026-08-18核查)；应付铅33.75%权益,量级极小,年度为自然年加总</t>
        </is>
      </c>
    </row>
    <row r="18">
      <c r="A18" t="inlineStr">
        <is>
          <t>Newmont</t>
        </is>
      </c>
      <c r="B18" t="inlineStr">
        <is>
          <t>墨西哥</t>
        </is>
      </c>
      <c r="C18" t="inlineStr">
        <is>
          <t>Peñasquito（铅锌副产）</t>
        </is>
      </c>
      <c r="D18" t="n">
        <v>1.86</v>
      </c>
      <c r="E18" t="n">
        <v>2.04</v>
      </c>
      <c r="F18" t="n">
        <v>0</v>
      </c>
      <c r="G18" t="n">
        <v>1.22</v>
      </c>
      <c r="H18" t="n">
        <v>5.13</v>
      </c>
      <c r="I18" t="n">
        <v>2.8</v>
      </c>
      <c r="J18" t="n">
        <v>2</v>
      </c>
      <c r="K18" t="n">
        <v>1.9</v>
      </c>
      <c r="L18" t="n">
        <v>2.9</v>
      </c>
      <c r="M18" t="n">
        <v>9.6</v>
      </c>
      <c r="N18" t="n">
        <v>2.2</v>
      </c>
      <c r="O18" t="n">
        <v>2.7</v>
      </c>
      <c r="P18" t="n">
        <v>2.6</v>
      </c>
      <c r="Q18" t="n">
        <v>2.3</v>
      </c>
      <c r="R18" t="n">
        <v>9.800000000000001</v>
      </c>
      <c r="S18">
        <f>IF(AND(ISNUMBER(R18),ISNUMBER(M18),M18&lt;&gt;0),(R18-M18)/M18,"-")</f>
        <v/>
      </c>
      <c r="T18" t="n">
        <v>2.7</v>
      </c>
      <c r="U18">
        <f>IF(AND(ISNUMBER(T18),ISNUMBER(N18),N18&lt;&gt;0),(T18-N18)/N18,"-")</f>
        <v/>
      </c>
      <c r="V18" t="n">
        <v>1.8</v>
      </c>
      <c r="W18">
        <f>IF(AND(ISNUMBER(V18),ISNUMBER(O18),O18&lt;&gt;0),(V18-O18)/O18,"-")</f>
        <v/>
      </c>
      <c r="X18" t="n">
        <v>2.2</v>
      </c>
      <c r="Y18">
        <f>IF(AND(ISNUMBER(X18),ISNUMBER(P18),P18&lt;&gt;0),(X18-P18)/P18,"-")</f>
        <v/>
      </c>
      <c r="Z18" t="inlineStr">
        <is>
          <t>26Q3 Peñasquito铅2.2万吨，环比+22%；Newmont Q3 8-K</t>
        </is>
      </c>
      <c r="AB18" t="inlineStr">
        <is>
          <t>铅精矿含铅量；来源：Newmont 10-Q/10-K/8-K(2026-08-18核查)；2023Q3罢工整季停产=0;2026指引9.0万吨</t>
        </is>
      </c>
    </row>
    <row r="19">
      <c r="A19" t="inlineStr">
        <is>
          <t>Southern Copper</t>
        </is>
      </c>
      <c r="B19" t="inlineStr">
        <is>
          <t>墨西哥</t>
        </is>
      </c>
      <c r="C19" t="inlineStr">
        <is>
          <t>IMMSA（铅锌）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n">
        <v>1.87</v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n">
        <v>2.11</v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n">
        <v>2.49</v>
      </c>
      <c r="S19">
        <f>IF(AND(ISNUMBER(R19),ISNUMBER(M19),M19&lt;&gt;0),(R19-M19)/M19,"-")</f>
        <v/>
      </c>
      <c r="T19" t="inlineStr">
        <is>
          <t>-</t>
        </is>
      </c>
      <c r="U19">
        <f>IF(AND(ISNUMBER(T19),ISNUMBER(N19),N19&lt;&gt;0),(T19-N19)/N19,"-")</f>
        <v/>
      </c>
      <c r="V19" t="inlineStr">
        <is>
          <t>-</t>
        </is>
      </c>
      <c r="W19">
        <f>IF(AND(ISNUMBER(V19),ISNUMBER(O19),O19&lt;&gt;0),(V19-O19)/O19,"-")</f>
        <v/>
      </c>
      <c r="X19" t="inlineStr">
        <is>
          <t>-</t>
        </is>
      </c>
      <c r="Y19">
        <f>IF(AND(ISNUMBER(X19),ISNUMBER(P19),P19&lt;&gt;0),(X19-P19)/P19,"-")</f>
        <v/>
      </c>
      <c r="AB19" t="inlineStr">
        <is>
          <t>铅精矿含铅量；来源：SCCO 10-K年报IMMSA表(2026-08-18核查)；季度不披露铅,仅年度</t>
        </is>
      </c>
    </row>
    <row r="20">
      <c r="A20" t="inlineStr">
        <is>
          <t>驰宏锌锗</t>
        </is>
      </c>
      <c r="B20" t="inlineStr">
        <is>
          <t>中国</t>
        </is>
      </c>
      <c r="C20" t="inlineStr">
        <is>
          <t>铅锌矿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>
        <f>IF(AND(ISNUMBER(R20),ISNUMBER(M20),M20&lt;&gt;0),(R20-M20)/M20,"-")</f>
        <v/>
      </c>
      <c r="T20" t="n">
        <v>1.79</v>
      </c>
      <c r="U20">
        <f>IF(AND(ISNUMBER(T20),ISNUMBER(N20),N20&lt;&gt;0),(T20-N20)/N20,"-")</f>
        <v/>
      </c>
      <c r="V20" t="n">
        <v>1.79</v>
      </c>
      <c r="W20">
        <f>IF(AND(ISNUMBER(V20),ISNUMBER(O20),O20&lt;&gt;0),(V20-O20)/O20,"-")</f>
        <v/>
      </c>
      <c r="X20" t="inlineStr">
        <is>
          <t>-</t>
        </is>
      </c>
      <c r="Y20">
        <f>IF(AND(ISNUMBER(X20),ISNUMBER(P20),P20&lt;&gt;0),(X20-P20)/P20,"-")</f>
        <v/>
      </c>
      <c r="Z20" t="inlineStr">
        <is>
          <t>2026中报全文（8/27）主要产品产量表：H1 铅精矿 3.58 万金属吨（25H1 4.04，同比-11.4%）、锌精矿 11.07、铅锌精矿合计 14.65（-3.36%，青海鸿鑫调增硫铁矿处理量、铅锌矿处理量同步调减）；本行取铅精矿单铅口径，Q1 未披露，H1/2 两季平分拟合=1.79 万吨/季。源：驰宏锌锗 2026 中报全文+摘要（新浪 id=12537402/12537400）</t>
        </is>
      </c>
      <c r="AB20" t="inlineStr">
        <is>
          <t>A股年报/中报；铅锌伴生；26Q1/26Q2=H1铅精矿3.58万金属吨两季平分拟合（Q1未披露）</t>
        </is>
      </c>
    </row>
    <row r="21">
      <c r="A21" t="inlineStr">
        <is>
          <t>中金岭南</t>
        </is>
      </c>
      <c r="B21" t="inlineStr">
        <is>
          <t>中国</t>
        </is>
      </c>
      <c r="C21" t="inlineStr">
        <is>
          <t>铅锌矿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>
        <f>IF(AND(ISNUMBER(R21),ISNUMBER(M21),M21&lt;&gt;0),(R21-M21)/M21,"-")</f>
        <v/>
      </c>
      <c r="T21" t="inlineStr">
        <is>
          <t>-</t>
        </is>
      </c>
      <c r="U21">
        <f>IF(AND(ISNUMBER(T21),ISNUMBER(N21),N21&lt;&gt;0),(T21-N21)/N21,"-")</f>
        <v/>
      </c>
      <c r="V21" t="inlineStr">
        <is>
          <t>-</t>
        </is>
      </c>
      <c r="W21">
        <f>IF(AND(ISNUMBER(V21),ISNUMBER(O21),O21&lt;&gt;0),(V21-O21)/O21,"-")</f>
        <v/>
      </c>
      <c r="X21" t="inlineStr">
        <is>
          <t>-</t>
        </is>
      </c>
      <c r="Y21">
        <f>IF(AND(ISNUMBER(X21),ISNUMBER(P21),P21&lt;&gt;0),(X21-P21)/P21,"-")</f>
        <v/>
      </c>
      <c r="Z21" t="inlineStr">
        <is>
          <t>2026中报（8/28披露）：H1 矿山精矿铅锌金属量合计 11.24 万吨（-10.37%），铅锌未拆分；本行单铅口径无法取值 → 未披露。源：中金岭南 2026 中报</t>
        </is>
      </c>
      <c r="AB21" t="inlineStr">
        <is>
          <t>A股年报/中报；铅锌伴生；2026中报仅披露铅锌合计11.24万吨、未拆分，单铅口径未披露</t>
        </is>
      </c>
    </row>
    <row r="22">
      <c r="A22" t="inlineStr">
        <is>
          <t>华钰矿业</t>
        </is>
      </c>
      <c r="B22" t="inlineStr">
        <is>
          <t>中国</t>
        </is>
      </c>
      <c r="C22" t="inlineStr">
        <is>
          <t>铅锌矿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>
        <f>IF(AND(ISNUMBER(R22),ISNUMBER(M22),M22&lt;&gt;0),(R22-M22)/M22,"-")</f>
        <v/>
      </c>
      <c r="T22" t="inlineStr">
        <is>
          <t>-</t>
        </is>
      </c>
      <c r="U22">
        <f>IF(AND(ISNUMBER(T22),ISNUMBER(N22),N22&lt;&gt;0),(T22-N22)/N22,"-")</f>
        <v/>
      </c>
      <c r="V22" t="n">
        <v>0.2994</v>
      </c>
      <c r="W22">
        <f>IF(AND(ISNUMBER(V22),ISNUMBER(O22),O22&lt;&gt;0),(V22-O22)/O22,"-")</f>
        <v/>
      </c>
      <c r="X22" t="inlineStr">
        <is>
          <t>-</t>
        </is>
      </c>
      <c r="Y22">
        <f>IF(AND(ISNUMBER(X22),ISNUMBER(P22),P22&lt;&gt;0),(X22-P22)/P22,"-")</f>
        <v/>
      </c>
      <c r="Z22" t="inlineStr">
        <is>
          <t>Q2 单季铅锑精矿含银产量 2,993.86 金属吨=0.2994 万吨（4-6月经营数据公告直接披露）；H1 山南铅+锌+锑+银合计 9,766.83 吨不分品种，Q1 单季铅未披露 → 26Q1 保持未披露。源：华钰矿业 2026年4-6月经营数据公告</t>
        </is>
      </c>
      <c r="AB22" t="inlineStr">
        <is>
          <t>A股年报/中报；铅锌伴生；26Q2=铅锑精矿含银2,993.86金属吨（经营公告直接披露口径），26Q1未披露</t>
        </is>
      </c>
    </row>
    <row r="23">
      <c r="A23" t="inlineStr">
        <is>
          <t>西部矿业</t>
        </is>
      </c>
      <c r="B23" t="inlineStr">
        <is>
          <t>中国</t>
        </is>
      </c>
      <c r="C23" t="inlineStr">
        <is>
          <t>铅锌矿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>
        <f>IF(AND(ISNUMBER(R23),ISNUMBER(M23),M23&lt;&gt;0),(R23-M23)/M23,"-")</f>
        <v/>
      </c>
      <c r="T23" t="n">
        <v>1.4728</v>
      </c>
      <c r="U23">
        <f>IF(AND(ISNUMBER(T23),ISNUMBER(N23),N23&lt;&gt;0),(T23-N23)/N23,"-")</f>
        <v/>
      </c>
      <c r="V23" t="n">
        <v>1.4728</v>
      </c>
      <c r="W23">
        <f>IF(AND(ISNUMBER(V23),ISNUMBER(O23),O23&lt;&gt;0),(V23-O23)/O23,"-")</f>
        <v/>
      </c>
      <c r="X23" t="inlineStr">
        <is>
          <t>-</t>
        </is>
      </c>
      <c r="Y23">
        <f>IF(AND(ISNUMBER(X23),ISNUMBER(P23),P23&lt;&gt;0),(X23-P23)/P23,"-")</f>
        <v/>
      </c>
      <c r="Z23" t="inlineStr">
        <is>
          <t>中报（7/30）：H1 矿产铅 29,456 吨=2.9456 万吨（半年口径，未拆季）；另矿产锌 63,906 吨、矿产铜 89,708 吨。源：西部矿业 2026 半年度报告全文（巨潮 1225446414）</t>
        </is>
      </c>
      <c r="AB23" t="inlineStr">
        <is>
          <t>A股年报/中报；铅锌伴生；中报H1矿产铅2.9456万吨，Q1未披露，两季平分拟合</t>
        </is>
      </c>
    </row>
    <row r="24">
      <c r="A24" t="inlineStr">
        <is>
          <t>Silvercorp Metals</t>
        </is>
      </c>
      <c r="B24" t="inlineStr">
        <is>
          <t>加拿大</t>
        </is>
      </c>
      <c r="C24" t="inlineStr">
        <is>
          <t>中国Ying矿区（铅锌银）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n">
        <v>0.7121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>
        <f>IF(AND(ISNUMBER(R24),ISNUMBER(M24),M24&lt;&gt;0),(R24-M24)/M24,"-")</f>
        <v/>
      </c>
      <c r="T24" t="inlineStr">
        <is>
          <t>-</t>
        </is>
      </c>
      <c r="U24">
        <f>IF(AND(ISNUMBER(T24),ISNUMBER(N24),N24&lt;&gt;0),(T24-N24)/N24,"-")</f>
        <v/>
      </c>
      <c r="V24" t="n">
        <v>0.6078</v>
      </c>
      <c r="W24">
        <f>IF(AND(ISNUMBER(V24),ISNUMBER(O24),O24&lt;&gt;0),(V24-O24)/O24,"-")</f>
        <v/>
      </c>
      <c r="X24" t="n">
        <v>0.353808</v>
      </c>
      <c r="Y24">
        <f>IF(AND(ISNUMBER(X24),ISNUMBER(P24),P24&lt;&gt;0),(X24-P24)/P24,"-")</f>
        <v/>
      </c>
      <c r="Z24" t="inlineStr">
        <is>
          <t>26Q3(FY27Q2)铅7.8Mlb（Ying 7.6+GC 0.2）=3,538吨=0.3538万吨，安全整改致Ying同比-41%、GC仍停产；Silvercorp 10/19运营公告</t>
        </is>
      </c>
      <c r="AB24" t="inlineStr">
        <is>
          <t>铅精矿含铅量；财年止3月（FY Q4=自然Q1）；季报（TSX/NYSE）；锌目录同步建行；2026-08-18新增骨架行，数据待回填；源：Silvercorp 6-K 2026-07-15（SEC，Q1 FY2027 运营业绩）；磅×0.0004536=吨</t>
        </is>
      </c>
    </row>
    <row r="25">
      <c r="A25" t="inlineStr">
        <is>
          <t>Central Asia Metals</t>
        </is>
      </c>
      <c r="B25" t="inlineStr">
        <is>
          <t>英国</t>
        </is>
      </c>
      <c r="C25" t="inlineStr">
        <is>
          <t>北马其顿Sasa（铅锌）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n">
        <v>0.6005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>
        <f>IF(AND(ISNUMBER(R25),ISNUMBER(M25),M25&lt;&gt;0),(R25-M25)/M25,"-")</f>
        <v/>
      </c>
      <c r="T25" t="n">
        <v>0.6529</v>
      </c>
      <c r="U25">
        <f>IF(AND(ISNUMBER(T25),ISNUMBER(N25),N25&lt;&gt;0),(T25-N25)/N25,"-")</f>
        <v/>
      </c>
      <c r="V25" t="n">
        <v>0.6783</v>
      </c>
      <c r="W25">
        <f>IF(AND(ISNUMBER(V25),ISNUMBER(O25),O25&lt;&gt;0),(V25-O25)/O25,"-")</f>
        <v/>
      </c>
      <c r="X25" t="n">
        <v>0.7255</v>
      </c>
      <c r="Y25">
        <f>IF(AND(ISNUMBER(X25),ISNUMBER(P25),P25&lt;&gt;0),(X25-P25)/P25,"-")</f>
        <v/>
      </c>
      <c r="Z25" t="inlineStr">
        <is>
          <t>26Q3 Sasa铅精矿含铅7,255吨=0.7255万吨，同比+21%：品位及采选量提升；CAML Q3 RNS</t>
        </is>
      </c>
      <c r="AB25" t="inlineStr">
        <is>
          <t>铅精矿含铅量；自然年；季报（LSE）；另有哈萨克Kounrad铜（未入铜表）；锌目录同步建行；2026-08-18新增骨架行，数据待回填</t>
        </is>
      </c>
    </row>
    <row r="26">
      <c r="A26" t="inlineStr">
        <is>
          <t>Hecla Mining</t>
        </is>
      </c>
      <c r="B26" t="inlineStr">
        <is>
          <t>美国</t>
        </is>
      </c>
      <c r="C26" t="inlineStr">
        <is>
          <t>Greens Creek+Lucky Friday（铅锌银副产）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>
        <f>IF(AND(ISNUMBER(R26),ISNUMBER(M26),M26&lt;&gt;0),(R26-M26)/M26,"-")</f>
        <v/>
      </c>
      <c r="T26" t="inlineStr">
        <is>
          <t>-</t>
        </is>
      </c>
      <c r="U26">
        <f>IF(AND(ISNUMBER(T26),ISNUMBER(N26),N26&lt;&gt;0),(T26-N26)/N26,"-")</f>
        <v/>
      </c>
      <c r="V26" t="inlineStr">
        <is>
          <t>-</t>
        </is>
      </c>
      <c r="W26">
        <f>IF(AND(ISNUMBER(V26),ISNUMBER(O26),O26&lt;&gt;0),(V26-O26)/O26,"-")</f>
        <v/>
      </c>
      <c r="X26" t="inlineStr">
        <is>
          <t>-</t>
        </is>
      </c>
      <c r="Y26">
        <f>IF(AND(ISNUMBER(X26),ISNUMBER(P26),P26&lt;&gt;0),(X26-P26)/P26,"-")</f>
        <v/>
      </c>
      <c r="Z26" t="inlineStr">
        <is>
          <t>Hecla 2Q26 财报(8/4)仅披露银/金金属量+精矿吨数（Greens Creek 锌精矿17,990吨/Lucky Friday 6,527吨），不再披露铅锌含金属量</t>
        </is>
      </c>
      <c r="AB26" t="inlineStr">
        <is>
          <t>铅精矿含铅量；自然年；季报（NYSE）≈季后3-4周；锌目录同步建行；2026-08-18新增骨架行，数据待回填；源：Hecla 2Q26 业绩新闻稿（8-K ex99.1, 2026-08-04）；含金属量口径缺官方值</t>
        </is>
      </c>
    </row>
    <row r="27">
      <c r="A27" t="inlineStr">
        <is>
          <t>总计</t>
        </is>
      </c>
      <c r="D27">
        <f>SUM(D2:D26)</f>
        <v/>
      </c>
      <c r="E27">
        <f>SUM(E2:E26)</f>
        <v/>
      </c>
      <c r="F27">
        <f>SUM(F2:F26)</f>
        <v/>
      </c>
      <c r="G27">
        <f>SUM(G2:G26)</f>
        <v/>
      </c>
      <c r="H27">
        <f>SUM(H2:H26)</f>
        <v/>
      </c>
      <c r="I27">
        <f>SUM(I2:I26)</f>
        <v/>
      </c>
      <c r="J27">
        <f>SUM(J2:J26)</f>
        <v/>
      </c>
      <c r="K27">
        <f>SUM(K2:K26)</f>
        <v/>
      </c>
      <c r="L27">
        <f>SUM(L2:L26)</f>
        <v/>
      </c>
      <c r="M27">
        <f>SUM(M2:M26)</f>
        <v/>
      </c>
      <c r="N27">
        <f>SUM(N2:N26)</f>
        <v/>
      </c>
      <c r="O27">
        <f>SUM(O2:O26)</f>
        <v/>
      </c>
      <c r="P27">
        <f>SUM(P2:P26)</f>
        <v/>
      </c>
      <c r="Q27">
        <f>SUM(Q2:Q26)</f>
        <v/>
      </c>
      <c r="R27">
        <f>SUM(R2:R26)</f>
        <v/>
      </c>
      <c r="T27">
        <f>SUM(T2:T26)</f>
        <v/>
      </c>
      <c r="V27">
        <f>SUM(V2:V26)</f>
        <v/>
      </c>
      <c r="X27">
        <f>SUM(X2:X26)</f>
        <v/>
      </c>
      <c r="Y27">
        <f>IF(AND(ISNUMBER(X27),ISNUMBER(P27),P27&lt;&gt;0),(X27-P27)/P27,"-")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26" customWidth="1" min="3" max="3"/>
    <col width="13" customWidth="1" min="22" max="22"/>
    <col width="13" customWidth="1" min="23" max="23"/>
    <col width="13" customWidth="1" min="24" max="24"/>
    <col width="13" customWidth="1" min="25" max="25"/>
    <col width="30" customWidth="1" min="26" max="26"/>
  </cols>
  <sheetData>
    <row r="1">
      <c r="A1" s="1" t="inlineStr">
        <is>
          <t>公司</t>
        </is>
      </c>
      <c r="B1" s="1" t="inlineStr">
        <is>
          <t>国家</t>
        </is>
      </c>
      <c r="C1" s="1" t="inlineStr">
        <is>
          <t>项目/口径</t>
        </is>
      </c>
      <c r="D1" s="1" t="inlineStr">
        <is>
          <t>23Q1</t>
        </is>
      </c>
      <c r="E1" s="1" t="inlineStr">
        <is>
          <t>23Q2</t>
        </is>
      </c>
      <c r="F1" s="1" t="inlineStr">
        <is>
          <t>23Q3</t>
        </is>
      </c>
      <c r="G1" s="1" t="inlineStr">
        <is>
          <t>23Q4</t>
        </is>
      </c>
      <c r="H1" s="1" t="inlineStr">
        <is>
          <t>23总计</t>
        </is>
      </c>
      <c r="I1" s="1" t="inlineStr">
        <is>
          <t>24Q1</t>
        </is>
      </c>
      <c r="J1" s="1" t="inlineStr">
        <is>
          <t>24Q2</t>
        </is>
      </c>
      <c r="K1" s="1" t="inlineStr">
        <is>
          <t>24Q3</t>
        </is>
      </c>
      <c r="L1" s="1" t="inlineStr">
        <is>
          <t>24Q4</t>
        </is>
      </c>
      <c r="M1" s="1" t="inlineStr">
        <is>
          <t>24总计</t>
        </is>
      </c>
      <c r="N1" s="1" t="inlineStr">
        <is>
          <t>25Q1</t>
        </is>
      </c>
      <c r="O1" s="1" t="inlineStr">
        <is>
          <t>25Q2</t>
        </is>
      </c>
      <c r="P1" s="1" t="inlineStr">
        <is>
          <t>25Q3</t>
        </is>
      </c>
      <c r="Q1" s="1" t="inlineStr">
        <is>
          <t>25Q4</t>
        </is>
      </c>
      <c r="R1" s="1" t="inlineStr">
        <is>
          <t>25总计</t>
        </is>
      </c>
      <c r="S1" s="1" t="inlineStr">
        <is>
          <t>25同比</t>
        </is>
      </c>
      <c r="T1" s="1" t="inlineStr">
        <is>
          <t>26Q1</t>
        </is>
      </c>
      <c r="U1" s="1" t="inlineStr">
        <is>
          <t>26Q1同比</t>
        </is>
      </c>
      <c r="V1" s="1" t="inlineStr">
        <is>
          <t>26Q2</t>
        </is>
      </c>
      <c r="W1" s="1" t="inlineStr">
        <is>
          <t>26Q2同比</t>
        </is>
      </c>
      <c r="X1" s="1" t="inlineStr">
        <is>
          <t>26Q3</t>
        </is>
      </c>
      <c r="Y1" s="1" t="inlineStr">
        <is>
          <t>26Q3同比</t>
        </is>
      </c>
      <c r="Z1" s="1" t="inlineStr">
        <is>
          <t>变化原因</t>
        </is>
      </c>
      <c r="AA1" s="1" t="inlineStr">
        <is>
          <t>FY2026指引</t>
        </is>
      </c>
      <c r="AB1" s="1" t="inlineStr">
        <is>
          <t>备注</t>
        </is>
      </c>
    </row>
    <row r="2">
      <c r="A2" t="inlineStr">
        <is>
          <t>Glencore</t>
        </is>
      </c>
      <c r="B2" t="inlineStr">
        <is>
          <t>哈萨克斯坦</t>
        </is>
      </c>
      <c r="C2" t="inlineStr">
        <is>
          <t>Kazzinc 精炼铅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n">
        <v>0.5</v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>
        <f>IF(AND(ISNUMBER(R2),ISNUMBER(M2),M2&lt;&gt;0),(R2-M2)/M2,"-")</f>
        <v/>
      </c>
      <c r="T2" t="n">
        <v>0.74</v>
      </c>
      <c r="U2">
        <f>IF(AND(ISNUMBER(T2),ISNUMBER(N2),N2&lt;&gt;0),(T2-N2)/N2,"-")</f>
        <v/>
      </c>
      <c r="V2" t="n">
        <v>0.85</v>
      </c>
      <c r="W2">
        <f>IF(AND(ISNUMBER(V2),ISNUMBER(O2),O2&lt;&gt;0),(V2-O2)/O2,"-")</f>
        <v/>
      </c>
      <c r="X2" t="inlineStr">
        <is>
          <t>待发布(2026-10-29)</t>
        </is>
      </c>
      <c r="Y2">
        <f>IF(AND(ISNUMBER(X2),ISNUMBER(P2),P2&lt;&gt;0),(X2-P2)/P2,"-")</f>
        <v/>
      </c>
      <c r="Z2" t="inlineStr">
        <is>
          <t>26Q2 Kazzinc 精炼铅(自有 lead metal) 8.5kt（26Q1 7.4/25Q2 5.0）；含第三方全口径 Q2=21.1kt</t>
        </is>
      </c>
      <c r="AB2" t="inlineStr">
        <is>
          <t>精炼铅产量；自有口径入表；含第三方全口径 26Q2=2.11万吨（备注）</t>
        </is>
      </c>
    </row>
    <row r="3">
      <c r="A3" t="inlineStr">
        <is>
          <t>Glencore</t>
        </is>
      </c>
      <c r="B3" t="inlineStr">
        <is>
          <t>澳大利亚</t>
        </is>
      </c>
      <c r="C3" t="inlineStr">
        <is>
          <t>Mount Isa 精炼铅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>
        <f>IF(AND(ISNUMBER(R3),ISNUMBER(M3),M3&lt;&gt;0),(R3-M3)/M3,"-")</f>
        <v/>
      </c>
      <c r="T3" t="inlineStr">
        <is>
          <t>-</t>
        </is>
      </c>
      <c r="U3">
        <f>IF(AND(ISNUMBER(T3),ISNUMBER(N3),N3&lt;&gt;0),(T3-N3)/N3,"-")</f>
        <v/>
      </c>
      <c r="V3" t="inlineStr">
        <is>
          <t>-</t>
        </is>
      </c>
      <c r="W3">
        <f>IF(AND(ISNUMBER(V3),ISNUMBER(O3),O3&lt;&gt;0),(V3-O3)/O3,"-")</f>
        <v/>
      </c>
      <c r="X3" t="inlineStr">
        <is>
          <t>-</t>
        </is>
      </c>
      <c r="Y3">
        <f>IF(AND(ISNUMBER(X3),ISNUMBER(P3),P3&lt;&gt;0),(X3-P3)/P3,"-")</f>
        <v/>
      </c>
      <c r="Z3" t="inlineStr">
        <is>
          <t>Mount Isa 不产精炼铅（Townsville 为铜冶炼），本行不适用</t>
        </is>
      </c>
      <c r="AB3" t="inlineStr">
        <is>
          <t>精炼铅产量</t>
        </is>
      </c>
    </row>
    <row r="4">
      <c r="A4" t="inlineStr">
        <is>
          <t>Teck</t>
        </is>
      </c>
      <c r="B4" t="inlineStr">
        <is>
          <t>加拿大</t>
        </is>
      </c>
      <c r="C4" t="inlineStr">
        <is>
          <t>Trail 精炼铅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1.9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>
        <f>IF(AND(ISNUMBER(R4),ISNUMBER(M4),M4&lt;&gt;0),(R4-M4)/M4,"-")</f>
        <v/>
      </c>
      <c r="T4" t="n">
        <v>2.33</v>
      </c>
      <c r="U4">
        <f>IF(AND(ISNUMBER(T4),ISNUMBER(N4),N4&lt;&gt;0),(T4-N4)/N4,"-")</f>
        <v/>
      </c>
      <c r="V4" t="n">
        <v>1.63</v>
      </c>
      <c r="W4">
        <f>IF(AND(ISNUMBER(V4),ISNUMBER(O4),O4&lt;&gt;0),(V4-O4)/O4,"-")</f>
        <v/>
      </c>
      <c r="X4" t="inlineStr">
        <is>
          <t>待发布(2026-10-29)</t>
        </is>
      </c>
      <c r="Y4">
        <f>IF(AND(ISNUMBER(X4),ISNUMBER(P4),P4&lt;&gt;0),(X4-P4)/P4,"-")</f>
        <v/>
      </c>
      <c r="Z4" t="inlineStr">
        <is>
          <t>26Q2 Trail 精炼铅 16.3kt（26Q1 23.3/25Q2 19.0，环比-30%：铅回路计划检修），Teck Q2 2026 新闻稿</t>
        </is>
      </c>
      <c r="AB4" t="inlineStr">
        <is>
          <t>精炼铅产量；Teck 100% 口径</t>
        </is>
      </c>
    </row>
    <row r="5">
      <c r="A5" t="inlineStr">
        <is>
          <t>Nyrstar</t>
        </is>
      </c>
      <c r="B5" t="inlineStr">
        <is>
          <t>欧洲</t>
        </is>
      </c>
      <c r="C5" t="inlineStr">
        <is>
          <t>精炼铅（多厂）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>
        <f>IF(AND(ISNUMBER(R5),ISNUMBER(M5),M5&lt;&gt;0),(R5-M5)/M5,"-")</f>
        <v/>
      </c>
      <c r="T5" t="inlineStr">
        <is>
          <t>-</t>
        </is>
      </c>
      <c r="U5">
        <f>IF(AND(ISNUMBER(T5),ISNUMBER(N5),N5&lt;&gt;0),(T5-N5)/N5,"-")</f>
        <v/>
      </c>
      <c r="V5" t="inlineStr">
        <is>
          <t>-</t>
        </is>
      </c>
      <c r="W5">
        <f>IF(AND(ISNUMBER(V5),ISNUMBER(O5),O5&lt;&gt;0),(V5-O5)/O5,"-")</f>
        <v/>
      </c>
      <c r="X5" t="inlineStr">
        <is>
          <t>-</t>
        </is>
      </c>
      <c r="Y5">
        <f>IF(AND(ISNUMBER(X5),ISNUMBER(P5),P5&lt;&gt;0),(X5-P5)/P5,"-")</f>
        <v/>
      </c>
      <c r="AB5" t="inlineStr">
        <is>
          <t>不披露季度产量，占位行</t>
        </is>
      </c>
    </row>
    <row r="6">
      <c r="A6" t="inlineStr">
        <is>
          <t>Peñoles</t>
        </is>
      </c>
      <c r="B6" t="inlineStr">
        <is>
          <t>墨西哥</t>
        </is>
      </c>
      <c r="C6" t="inlineStr">
        <is>
          <t>Torreon 精炼铅</t>
        </is>
      </c>
      <c r="D6" t="n">
        <v>2.467</v>
      </c>
      <c r="E6" t="n">
        <v>3.037</v>
      </c>
      <c r="F6" t="n">
        <v>3.147</v>
      </c>
      <c r="G6" t="n">
        <v>3.329</v>
      </c>
      <c r="H6" t="n">
        <v>11.979</v>
      </c>
      <c r="I6" t="n">
        <v>2.516</v>
      </c>
      <c r="J6" t="n">
        <v>3.017</v>
      </c>
      <c r="K6" t="n">
        <v>2.728</v>
      </c>
      <c r="L6" t="n">
        <v>3.234</v>
      </c>
      <c r="M6" t="n">
        <v>11.493</v>
      </c>
      <c r="N6" t="n">
        <v>3.079</v>
      </c>
      <c r="O6" t="n">
        <v>2.646</v>
      </c>
      <c r="P6" t="n">
        <v>2.8</v>
      </c>
      <c r="Q6" t="n">
        <v>1.988</v>
      </c>
      <c r="R6" t="n">
        <v>10.512</v>
      </c>
      <c r="S6">
        <f>IF(AND(ISNUMBER(R6),ISNUMBER(M6),M6&lt;&gt;0),(R6-M6)/M6,"-")</f>
        <v/>
      </c>
      <c r="T6" t="n">
        <v>2.34</v>
      </c>
      <c r="U6">
        <f>IF(AND(ISNUMBER(T6),ISNUMBER(N6),N6&lt;&gt;0),(T6-N6)/N6,"-")</f>
        <v/>
      </c>
      <c r="V6" t="n">
        <v>2.569</v>
      </c>
      <c r="W6">
        <f>IF(AND(ISNUMBER(V6),ISNUMBER(O6),O6&lt;&gt;0),(V6-O6)/O6,"-")</f>
        <v/>
      </c>
      <c r="X6" t="inlineStr">
        <is>
          <t>待发布(预计2026-10-26)</t>
        </is>
      </c>
      <c r="Y6">
        <f>IF(AND(ISNUMBER(X6),ISNUMBER(P6),P6&lt;&gt;0),(X6-P6)/P6,"-")</f>
        <v/>
      </c>
      <c r="AB6" t="inlineStr">
        <is>
          <t>精炼铅产量；来源：Peñoles官网季报PDF(2026-08-18核查)；2025Q4年度检修移至Q4</t>
        </is>
      </c>
    </row>
    <row r="7">
      <c r="A7" t="inlineStr">
        <is>
          <t>Vedanta/HZL</t>
        </is>
      </c>
      <c r="B7" t="inlineStr">
        <is>
          <t>印度</t>
        </is>
      </c>
      <c r="C7" t="inlineStr">
        <is>
          <t>精炼铅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n">
        <v>5.5</v>
      </c>
      <c r="J7" t="n">
        <v>5.1</v>
      </c>
      <c r="K7" t="n">
        <v>6.3</v>
      </c>
      <c r="L7" t="n">
        <v>5.3</v>
      </c>
      <c r="M7" t="n">
        <v>22.2</v>
      </c>
      <c r="N7" t="n">
        <v>5.6</v>
      </c>
      <c r="O7" t="n">
        <v>4.8</v>
      </c>
      <c r="P7" t="n">
        <v>4.5</v>
      </c>
      <c r="Q7" t="n">
        <v>5.6</v>
      </c>
      <c r="R7" t="n">
        <v>20.5</v>
      </c>
      <c r="S7">
        <f>IF(AND(ISNUMBER(R7),ISNUMBER(M7),M7&lt;&gt;0),(R7-M7)/M7,"-")</f>
        <v/>
      </c>
      <c r="T7" t="n">
        <v>5.5</v>
      </c>
      <c r="U7">
        <f>IF(AND(ISNUMBER(T7),ISNUMBER(N7),N7&lt;&gt;0),(T7-N7)/N7,"-")</f>
        <v/>
      </c>
      <c r="V7" t="n">
        <v>4.7</v>
      </c>
      <c r="W7">
        <f>IF(AND(ISNUMBER(V7),ISNUMBER(O7),O7&lt;&gt;0),(V7-O7)/O7,"-")</f>
        <v/>
      </c>
      <c r="X7" t="n">
        <v>5.1</v>
      </c>
      <c r="Y7">
        <f>IF(AND(ISNUMBER(X7),ISNUMBER(P7),P7&lt;&gt;0),(X7-P7)/P7,"-")</f>
        <v/>
      </c>
      <c r="AB7" t="inlineStr">
        <is>
          <t>精炼铅产量；财年止3月；来源：Vedanta/HZL季度公告(2026-08-18核查)；排除自用口径;2024Q3为同比反推推算值,2024总计含该推算;FY26(止2026-03)=19.7同比-13%</t>
        </is>
      </c>
    </row>
    <row r="8">
      <c r="A8" t="inlineStr">
        <is>
          <t>Korea Zinc</t>
        </is>
      </c>
      <c r="B8" t="inlineStr">
        <is>
          <t>韩国</t>
        </is>
      </c>
      <c r="C8" t="inlineStr">
        <is>
          <t>精炼铅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>
        <f>IF(AND(ISNUMBER(R8),ISNUMBER(M8),M8&lt;&gt;0),(R8-M8)/M8,"-")</f>
        <v/>
      </c>
      <c r="T8" t="inlineStr">
        <is>
          <t>-</t>
        </is>
      </c>
      <c r="U8">
        <f>IF(AND(ISNUMBER(T8),ISNUMBER(N8),N8&lt;&gt;0),(T8-N8)/N8,"-")</f>
        <v/>
      </c>
      <c r="V8" t="inlineStr">
        <is>
          <t>-</t>
        </is>
      </c>
      <c r="W8">
        <f>IF(AND(ISNUMBER(V8),ISNUMBER(O8),O8&lt;&gt;0),(V8-O8)/O8,"-")</f>
        <v/>
      </c>
      <c r="X8" t="inlineStr">
        <is>
          <t>-</t>
        </is>
      </c>
      <c r="Y8">
        <f>IF(AND(ISNUMBER(X8),ISNUMBER(P8),P8&lt;&gt;0),(X8-P8)/P8,"-")</f>
        <v/>
      </c>
      <c r="Z8" t="inlineStr">
        <is>
          <t>Korea Zinc Q2 2026 已发（营收 6.37 万亿韩元创纪录），但仅年度铅销量口径，分季度精炼铅产量公开渠道无法获取 → 未披露。源：Korea Zinc 2Q26（8/5）+DART</t>
        </is>
      </c>
      <c r="AB8" t="inlineStr">
        <is>
          <t>精炼铅产量</t>
        </is>
      </c>
    </row>
    <row r="9">
      <c r="A9" t="inlineStr">
        <is>
          <t>Mitsui Mining</t>
        </is>
      </c>
      <c r="B9" t="inlineStr">
        <is>
          <t>日本</t>
        </is>
      </c>
      <c r="C9" t="inlineStr">
        <is>
          <t>精炼铅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>
        <f>IF(AND(ISNUMBER(R9),ISNUMBER(M9),M9&lt;&gt;0),(R9-M9)/M9,"-")</f>
        <v/>
      </c>
      <c r="T9" t="inlineStr">
        <is>
          <t>-</t>
        </is>
      </c>
      <c r="U9">
        <f>IF(AND(ISNUMBER(T9),ISNUMBER(N9),N9&lt;&gt;0),(T9-N9)/N9,"-")</f>
        <v/>
      </c>
      <c r="V9" t="inlineStr">
        <is>
          <t>-</t>
        </is>
      </c>
      <c r="W9">
        <f>IF(AND(ISNUMBER(V9),ISNUMBER(O9),O9&lt;&gt;0),(V9-O9)/O9,"-")</f>
        <v/>
      </c>
      <c r="X9" t="inlineStr">
        <is>
          <t>待发布(预计2026-11上旬)</t>
        </is>
      </c>
      <c r="Y9">
        <f>IF(AND(ISNUMBER(X9),ISNUMBER(P9),P9&lt;&gt;0),(X9-P9)/P9,"-")</f>
        <v/>
      </c>
      <c r="Z9" t="inlineStr">
        <is>
          <t>三井金属 FY27Q1(=26Q2)决算仅财务口径；铅仅披露半年度生产计划（2025年度下期计划34.6kt，因大规模定修环比-2.0kt）</t>
        </is>
      </c>
      <c r="AB9" t="inlineStr">
        <is>
          <t>精炼铅产量；财年止3月；源：三井金属 2025年度下期地金生産計画（2025-10-01）+ FY27Q1决算（TDnet 约8/7）</t>
        </is>
      </c>
    </row>
    <row r="10">
      <c r="A10" t="inlineStr">
        <is>
          <t>豫光金铅</t>
        </is>
      </c>
      <c r="B10" t="inlineStr">
        <is>
          <t>中国</t>
        </is>
      </c>
      <c r="C10" t="inlineStr">
        <is>
          <t>精炼铅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>
        <f>IF(AND(ISNUMBER(R10),ISNUMBER(M10),M10&lt;&gt;0),(R10-M10)/M10,"-")</f>
        <v/>
      </c>
      <c r="T10" t="n">
        <v>19.6048</v>
      </c>
      <c r="U10">
        <f>IF(AND(ISNUMBER(T10),ISNUMBER(N10),N10&lt;&gt;0),(T10-N10)/N10,"-")</f>
        <v/>
      </c>
      <c r="V10" t="n">
        <v>19.6048</v>
      </c>
      <c r="W10">
        <f>IF(AND(ISNUMBER(V10),ISNUMBER(O10),O10&lt;&gt;0),(V10-O10)/O10,"-")</f>
        <v/>
      </c>
      <c r="X10" t="inlineStr">
        <is>
          <t>-</t>
        </is>
      </c>
      <c r="Y10">
        <f>IF(AND(ISNUMBER(X10),ISNUMBER(P10),P10&lt;&gt;0),(X10-P10)/P10,"-")</f>
        <v/>
      </c>
      <c r="Z10" t="inlineStr">
        <is>
          <t>2026中报（8/27披露）：H1 铅产品产量 392,096.51 吨（+18.36%）=39.2097 万吨，Q1 未披露，H1/2 两季平分拟合=19.6048 万吨/季。源：豫光金铅 2026 中报产销量表（新浪全文 id=12547280）</t>
        </is>
      </c>
      <c r="AB10" t="inlineStr">
        <is>
          <t>A股年报/中报；国内最大铅企；26Q1/26Q2=H1铅产品392,096.51吨两季平分拟合（Q1未披露）</t>
        </is>
      </c>
    </row>
    <row r="11">
      <c r="A11" t="inlineStr">
        <is>
          <t>株冶集团</t>
        </is>
      </c>
      <c r="B11" t="inlineStr">
        <is>
          <t>中国</t>
        </is>
      </c>
      <c r="C11" t="inlineStr">
        <is>
          <t>精炼铅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>
        <f>IF(AND(ISNUMBER(R11),ISNUMBER(M11),M11&lt;&gt;0),(R11-M11)/M11,"-")</f>
        <v/>
      </c>
      <c r="T11" t="inlineStr">
        <is>
          <t>-</t>
        </is>
      </c>
      <c r="U11">
        <f>IF(AND(ISNUMBER(T11),ISNUMBER(N11),N11&lt;&gt;0),(T11-N11)/N11,"-")</f>
        <v/>
      </c>
      <c r="V11" t="inlineStr">
        <is>
          <t>-</t>
        </is>
      </c>
      <c r="W11">
        <f>IF(AND(ISNUMBER(V11),ISNUMBER(O11),O11&lt;&gt;0),(V11-O11)/O11,"-")</f>
        <v/>
      </c>
      <c r="X11" t="inlineStr">
        <is>
          <t>-</t>
        </is>
      </c>
      <c r="Y11">
        <f>IF(AND(ISNUMBER(X11),ISNUMBER(P11),P11&lt;&gt;0),(X11-P11)/P11,"-")</f>
        <v/>
      </c>
      <c r="Z11" t="inlineStr">
        <is>
          <t>株冶集团2026中报(8月)仅财务口径（营收141.5亿+35.9%/归母净利19.5亿+232.7%），未披露铅锭/锌锭产量吨数（仅"析出锌超时序进度0.64%"等相对表述）</t>
        </is>
      </c>
      <c r="AB11" t="inlineStr">
        <is>
          <t>A股年报/中报；源：株冶集团2026年半年度报告全文（SSE）；产能锚点：10万吨铅产品/68万吨锌产品</t>
        </is>
      </c>
    </row>
    <row r="12">
      <c r="A12" t="inlineStr">
        <is>
          <t>驰宏锌锗</t>
        </is>
      </c>
      <c r="B12" t="inlineStr">
        <is>
          <t>中国</t>
        </is>
      </c>
      <c r="C12" t="inlineStr">
        <is>
          <t>精炼铅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>
        <f>IF(AND(ISNUMBER(R12),ISNUMBER(M12),M12&lt;&gt;0),(R12-M12)/M12,"-")</f>
        <v/>
      </c>
      <c r="T12" t="n">
        <v>4.45</v>
      </c>
      <c r="U12">
        <f>IF(AND(ISNUMBER(T12),ISNUMBER(N12),N12&lt;&gt;0),(T12-N12)/N12,"-")</f>
        <v/>
      </c>
      <c r="V12" t="n">
        <v>4.45</v>
      </c>
      <c r="W12">
        <f>IF(AND(ISNUMBER(V12),ISNUMBER(O12),O12&lt;&gt;0),(V12-O12)/O12,"-")</f>
        <v/>
      </c>
      <c r="X12" t="inlineStr">
        <is>
          <t>-</t>
        </is>
      </c>
      <c r="Y12">
        <f>IF(AND(ISNUMBER(X12),ISNUMBER(P12),P12&lt;&gt;0),(X12-P12)/P12,"-")</f>
        <v/>
      </c>
      <c r="Z12" t="inlineStr">
        <is>
          <t>2026中报全文（8/27）：H1 冶炼铅锌产品 37.42 万吨（+13.67%，25H1 检修低基数、26H1 两产线满负荷），其中铅产品 8.90 万吨（25H1 7.84，+13.5%）；本行取铅产品口径，Q1 未披露，H1/2 两季平分拟合=4.45 万吨/季。源：驰宏锌锗 2026 中报全文+摘要（新浪 id=12537402/12537400）</t>
        </is>
      </c>
      <c r="AB12" t="inlineStr">
        <is>
          <t>A股年报/中报；26Q1/26Q2=H1铅产品8.90万吨两季平分拟合（Q1未披露）</t>
        </is>
      </c>
    </row>
    <row r="13">
      <c r="A13" t="inlineStr">
        <is>
          <t>锌业股份</t>
        </is>
      </c>
      <c r="B13" t="inlineStr">
        <is>
          <t>中国</t>
        </is>
      </c>
      <c r="C13" t="inlineStr">
        <is>
          <t>精炼铅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>
        <f>IF(AND(ISNUMBER(R13),ISNUMBER(M13),M13&lt;&gt;0),(R13-M13)/M13,"-")</f>
        <v/>
      </c>
      <c r="T13" t="n">
        <v>0.5649999999999999</v>
      </c>
      <c r="U13">
        <f>IF(AND(ISNUMBER(T13),ISNUMBER(N13),N13&lt;&gt;0),(T13-N13)/N13,"-")</f>
        <v/>
      </c>
      <c r="V13" t="n">
        <v>0.5649999999999999</v>
      </c>
      <c r="W13">
        <f>IF(AND(ISNUMBER(V13),ISNUMBER(O13),O13&lt;&gt;0),(V13-O13)/O13,"-")</f>
        <v/>
      </c>
      <c r="X13" t="inlineStr">
        <is>
          <t>-</t>
        </is>
      </c>
      <c r="Y13">
        <f>IF(AND(ISNUMBER(X13),ISNUMBER(P13),P13&lt;&gt;0),(X13-P13)/P13,"-")</f>
        <v/>
      </c>
      <c r="Z13" t="inlineStr">
        <is>
          <t>2026中报：H1 铅金属产品 1.13 万吨（安泰科对照口径），Q1 未披露，H1/2 两季平分拟合=0.565 万吨/季。源：锌业股份 2026 中报</t>
        </is>
      </c>
      <c r="AB13" t="inlineStr">
        <is>
          <t>A股年报/中报；26Q1/26Q2=H1铅金属产品1.13万吨两季平分拟合（安泰科对照口径，Q1未披露）</t>
        </is>
      </c>
    </row>
    <row r="14">
      <c r="A14" t="inlineStr">
        <is>
          <t>总计</t>
        </is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SUM(H2:H13)</f>
        <v/>
      </c>
      <c r="I14">
        <f>SUM(I2:I13)</f>
        <v/>
      </c>
      <c r="J14">
        <f>SUM(J2:J13)</f>
        <v/>
      </c>
      <c r="K14">
        <f>SUM(K2:K13)</f>
        <v/>
      </c>
      <c r="L14">
        <f>SUM(L2:L13)</f>
        <v/>
      </c>
      <c r="M14">
        <f>SUM(M2:M13)</f>
        <v/>
      </c>
      <c r="N14">
        <f>SUM(N2:N13)</f>
        <v/>
      </c>
      <c r="O14">
        <f>SUM(O2:O13)</f>
        <v/>
      </c>
      <c r="P14">
        <f>SUM(P2:P13)</f>
        <v/>
      </c>
      <c r="Q14">
        <f>SUM(Q2:Q13)</f>
        <v/>
      </c>
      <c r="R14">
        <f>SUM(R2:R13)</f>
        <v/>
      </c>
      <c r="T14">
        <f>SUM(T2:T13)</f>
        <v/>
      </c>
      <c r="V14">
        <f>SUM(V2:V13)</f>
        <v/>
      </c>
      <c r="X14">
        <f>SUM(X2:X13)</f>
        <v/>
      </c>
      <c r="Y14">
        <f>IF(AND(ISNUMBER(X14),ISNUMBER(P14),P14&lt;&gt;0),(X14-P14)/P14,"-")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40" customWidth="1" min="3" max="3"/>
  </cols>
  <sheetData>
    <row r="1">
      <c r="A1" s="2" t="inlineStr">
        <is>
          <t>日期</t>
        </is>
      </c>
      <c r="B1" s="2" t="inlineStr">
        <is>
          <t>更新内容</t>
        </is>
      </c>
      <c r="C1" s="2" t="inlineStr">
        <is>
          <t>数据来源</t>
        </is>
      </c>
    </row>
    <row r="2">
      <c r="A2" t="inlineStr">
        <is>
          <t>2026-08-17</t>
        </is>
      </c>
      <c r="B2" t="inlineStr">
        <is>
          <t>铅库建库：铅精矿 22 家 + 精炼铅 12 家公司行占位就位，季度产量数据待联网核查填充</t>
        </is>
      </c>
      <c r="C2" t="inlineStr">
        <is>
          <t>建库脚本 build_lead_excel.py</t>
        </is>
      </c>
    </row>
    <row r="3">
      <c r="A3" t="inlineStr">
        <is>
          <t>2026-08-18</t>
        </is>
      </c>
      <c r="B3" t="inlineStr">
        <is>
          <t>新增骨架行3家：Silvercorp/CAML/Hecla（铅锌伴生，锌目录同步建行）；数据列占位待回填</t>
        </is>
      </c>
      <c r="C3" t="inlineStr">
        <is>
          <t>审计建议（16家优先新增+8个跨品种归类修正，2026-08-18）</t>
        </is>
      </c>
    </row>
    <row r="4">
      <c r="A4" t="inlineStr">
        <is>
          <t>2026-08-21</t>
        </is>
      </c>
      <c r="B4" t="inlineStr">
        <is>
          <t>回填产量数据：铅精矿 12 行（Boliden两矿/MMG两矿/South32 Cannington/Vedanta年度/Peñoles/Volcan/Fresnillo/BHP Antamina/Newmont/SCCO年度）+ 精炼铅 2 行（Peñoles Torreon、HZL），2023Q1-2026Q2</t>
        </is>
      </c>
      <c r="C4" t="inlineStr">
        <is>
          <t>各公司官方季报/年报（2026-08-18 核查底稿 _pb_fill.json）</t>
        </is>
      </c>
    </row>
    <row r="5">
      <c r="A5" t="inlineStr">
        <is>
          <t>2026-08-23</t>
        </is>
      </c>
      <c r="B5" t="inlineStr">
        <is>
          <t>铅 26Q2 回填：Teck Red Dog 2.19/Trail 1.63；Glencore Kazzinc 精矿 0/McArthur River 1.38/Mount Isa 2.03/Kazzinc 精炼(自有) 0.85（万吨）</t>
        </is>
      </c>
      <c r="C5" t="inlineStr">
        <is>
          <t>Teck Q1/Q2 2026 新闻稿（fast-edgar eh260770499/eh260811108_ex9902）；Glencore 2026 H1/Q1 Production Report PDF</t>
        </is>
      </c>
    </row>
    <row r="6">
      <c r="A6" t="inlineStr">
        <is>
          <t>2026-08-23</t>
        </is>
      </c>
      <c r="B6" t="inlineStr">
        <is>
          <t>铅批A：Silvercorp 26Q2=0.61万吨(6-K)；Hecla 改口径(仅精矿吨数)→未披露；株冶/三井精炼铅 26Q2→未披露（中报/决算仅财务口径）</t>
        </is>
      </c>
      <c r="C6" t="inlineStr">
        <is>
          <t>Silvercorp 6-K 7/15；Hecla 8-K ex99.1 8/4；株冶2026中报；三井金属2025年度下期地金生産計画</t>
        </is>
      </c>
    </row>
    <row r="7">
      <c r="A7" t="inlineStr">
        <is>
          <t>2026-08-25</t>
        </is>
      </c>
      <c r="B7" t="inlineStr">
        <is>
          <t>铅 26Q2 批B：Nexa 分矿（Cerro Lindo 0.27/Vazante 0.0132 万吨，6-K 原文）+ CAML 0.6783 + 西部矿业 H1=2.9456 + 驰宏 H1=14.90（铅锌合计）+ Korea Zinc 未披露 + 中金岭南/华钰/豫光/锌业 待发布</t>
        </is>
      </c>
      <c r="C7" t="inlineStr">
        <is>
          <t>Nexa 2Q26 6-K（SEC 8/5）；CAML RNS 7/8；西部矿业中报全文；驰宏中报；巨潮预约表</t>
        </is>
      </c>
    </row>
    <row r="8">
      <c r="A8" t="inlineStr">
        <is>
          <t>2026-10-07</t>
        </is>
      </c>
      <c r="B8" t="inlineStr">
        <is>
          <t>开 26Q3 列。Vedanta/HZL Q2FY27(7-9月)精炼铅 5.1万吨(+14% YoY)入库。（铅精矿 Vedanta 行维持 '-'：HZL 采矿金属为锌铅合并口径，不单列铅精矿。）</t>
        </is>
      </c>
      <c r="C8" t="inlineStr">
        <is>
          <t>Vedanta Q2FY27 Production Release 2026-10-03</t>
        </is>
      </c>
    </row>
    <row r="9">
      <c r="A9" t="inlineStr">
        <is>
          <t>2026-10-14</t>
        </is>
      </c>
      <c r="B9" t="inlineStr">
        <is>
          <t>26Q2 复核（无数值变更）：Vedanta/HZL Q1FY27（=26Q2）产量公告（7/3）核实——精炼铅 47KT（-2% YoY）与已录 4.7 一致；采矿金属 268KT（+1%，纪录）为锌铅合并口径不单列铅，铅精矿行维持'-'（红线#2）；26Q3（Q2FY27，10/3 公告）精炼铅 5.1 已于 10/7 入库。</t>
        </is>
      </c>
      <c r="C9" t="inlineStr">
        <is>
          <t>Vedanta Q1FY27 Production Release（vedantalimited.com VEDL_ProductionRelease_Q1FY27.pdf，2026-07-03）</t>
        </is>
      </c>
    </row>
    <row r="10">
      <c r="A10" t="inlineStr">
        <is>
          <t>2026-10-26</t>
        </is>
      </c>
      <c r="B10" t="inlineStr">
        <is>
          <t>铅26Q3第一批：MMG(Rosebery 0.2969/Dugald 0.6633)、South32 Cannington 1.6、Fresnillo 1.6417、BHP 0.0073、Newmont 2.2、CAML 0.7255、Silvercorp 0.3538万吨入库；Glencore/Teck/Boliden/Nexa/Peñoles等待发布</t>
        </is>
      </c>
      <c r="C10" t="inlineStr">
        <is>
          <t>MMG Q3 Production Report 10/14；South32 September Quarterly 10/19；Newmont 8-K 10/23；BHP Operational Review 10/20；Fresnillo 3Q26 10/21；CAML RNS 10/7；Silvercorp 10/19；Buenaventura 6-K 10/15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2026-08-18T01:24:40Z</dcterms:created>
  <dcterms:modified xmlns:dcterms="http://purl.org/dc/terms/" xmlns:xsi="http://www.w3.org/2001/XMLSchema-instance" xsi:type="dcterms:W3CDTF">2026-10-26T05:40:24Z</dcterms:modified>
</cp:coreProperties>
</file>