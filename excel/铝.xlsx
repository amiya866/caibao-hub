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铝土矿·季度产量" sheetId="1" state="visible" r:id="rId1"/>
    <sheet xmlns:r="http://schemas.openxmlformats.org/officeDocument/2006/relationships" name="氧化铝·季度产量" sheetId="2" state="visible" r:id="rId2"/>
    <sheet xmlns:r="http://schemas.openxmlformats.org/officeDocument/2006/relationships" name="电解铝·季度产量" sheetId="3" state="visible" r:id="rId3"/>
    <sheet xmlns:r="http://schemas.openxmlformats.org/officeDocument/2006/relationships" name="更新日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#,##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80808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0" fontId="2" fillId="3" borderId="1" pivotButton="0" quotePrefix="0" xfId="0"/>
    <xf numFmtId="166" fontId="2" fillId="3" borderId="1" pivotButton="0" quotePrefix="0" xfId="0"/>
    <xf numFmtId="165" fontId="2" fillId="3" borderId="1" pivotButton="0" quotePrefix="0" xfId="0"/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30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8.5" customWidth="1" min="25" max="25"/>
    <col width="55" customWidth="1" min="26" max="26"/>
  </cols>
  <sheetData>
    <row r="1" ht="24" customHeight="1">
      <c r="A1" s="1" t="inlineStr">
        <is>
          <t>公司</t>
        </is>
      </c>
      <c r="B1" s="1" t="inlineStr">
        <is>
          <t>国家</t>
        </is>
      </c>
      <c r="C1" s="1" t="inlineStr">
        <is>
          <t>项目/口径</t>
        </is>
      </c>
      <c r="D1" s="1" t="inlineStr">
        <is>
          <t>23Q1</t>
        </is>
      </c>
      <c r="E1" s="1" t="inlineStr">
        <is>
          <t>23Q2</t>
        </is>
      </c>
      <c r="F1" s="1" t="inlineStr">
        <is>
          <t>23Q3</t>
        </is>
      </c>
      <c r="G1" s="1" t="inlineStr">
        <is>
          <t>23Q4</t>
        </is>
      </c>
      <c r="H1" s="1" t="inlineStr">
        <is>
          <t>23总计</t>
        </is>
      </c>
      <c r="I1" s="1" t="inlineStr">
        <is>
          <t>24Q1</t>
        </is>
      </c>
      <c r="J1" s="1" t="inlineStr">
        <is>
          <t>24Q2</t>
        </is>
      </c>
      <c r="K1" s="1" t="inlineStr">
        <is>
          <t>24Q3</t>
        </is>
      </c>
      <c r="L1" s="1" t="inlineStr">
        <is>
          <t>24Q4</t>
        </is>
      </c>
      <c r="M1" s="1" t="inlineStr">
        <is>
          <t>24总计</t>
        </is>
      </c>
      <c r="N1" s="1" t="inlineStr">
        <is>
          <t>25Q1</t>
        </is>
      </c>
      <c r="O1" s="1" t="inlineStr">
        <is>
          <t>25Q2</t>
        </is>
      </c>
      <c r="P1" s="1" t="inlineStr">
        <is>
          <t>25Q3</t>
        </is>
      </c>
      <c r="Q1" s="1" t="inlineStr">
        <is>
          <t>25Q4</t>
        </is>
      </c>
      <c r="R1" s="1" t="inlineStr">
        <is>
          <t>25总计</t>
        </is>
      </c>
      <c r="S1" s="1" t="inlineStr">
        <is>
          <t>25同比</t>
        </is>
      </c>
      <c r="T1" s="1" t="inlineStr">
        <is>
          <t>26Q1</t>
        </is>
      </c>
      <c r="U1" s="1" t="inlineStr">
        <is>
          <t>26Q1同比</t>
        </is>
      </c>
      <c r="V1" s="1" t="inlineStr">
        <is>
          <t>26Q2</t>
        </is>
      </c>
      <c r="W1" s="1" t="inlineStr">
        <is>
          <t>26Q2同比</t>
        </is>
      </c>
      <c r="X1" s="1" t="inlineStr">
        <is>
          <t>26Q3</t>
        </is>
      </c>
      <c r="Y1" s="1" t="inlineStr">
        <is>
          <t>26Q3同比</t>
        </is>
      </c>
      <c r="Z1" s="1" t="inlineStr">
        <is>
          <t>变化原因</t>
        </is>
      </c>
      <c r="AA1" s="1" t="inlineStr">
        <is>
          <t>FY2026指引</t>
        </is>
      </c>
      <c r="AB1" s="1" t="inlineStr">
        <is>
          <t>备注</t>
        </is>
      </c>
    </row>
    <row r="2">
      <c r="A2" s="2" t="inlineStr">
        <is>
          <t>美铝 Alcoa</t>
        </is>
      </c>
      <c r="B2" s="2" t="inlineStr">
        <is>
          <t>美国</t>
        </is>
      </c>
      <c r="C2" s="3" t="inlineStr">
        <is>
          <t>合并口径（原始单位 mdmt×100）</t>
        </is>
      </c>
      <c r="D2" s="4" t="n">
        <v>990</v>
      </c>
      <c r="E2" s="4" t="n">
        <v>1000</v>
      </c>
      <c r="F2" s="4" t="n">
        <v>1070</v>
      </c>
      <c r="G2" s="4" t="n">
        <v>1040</v>
      </c>
      <c r="H2" s="4" t="n">
        <v>4100</v>
      </c>
      <c r="I2" s="4" t="n">
        <v>1010</v>
      </c>
      <c r="J2" s="4" t="n">
        <v>950</v>
      </c>
      <c r="K2" s="4" t="n">
        <v>940</v>
      </c>
      <c r="L2" s="4" t="n">
        <v>930</v>
      </c>
      <c r="M2" s="4" t="n">
        <v>3830</v>
      </c>
      <c r="N2" s="4" t="n">
        <v>950</v>
      </c>
      <c r="O2" s="4" t="n">
        <v>930</v>
      </c>
      <c r="P2" s="4" t="n">
        <v>930</v>
      </c>
      <c r="Q2" s="4" t="n">
        <v>940</v>
      </c>
      <c r="R2" s="4" t="n">
        <v>3750</v>
      </c>
      <c r="S2" s="5">
        <f>IF(AND(ISNUMBER(R2),ISNUMBER(M2),M2&lt;&gt;0),(R2-M2)/M2,"-")</f>
        <v/>
      </c>
      <c r="T2" s="4" t="n">
        <v>910</v>
      </c>
      <c r="U2" s="5">
        <f>IF(AND(ISNUMBER(T2),ISNUMBER(N2),N2&lt;&gt;0),(T2-N2)/N2,"-")</f>
        <v/>
      </c>
      <c r="V2" s="4" t="n">
        <v>830</v>
      </c>
      <c r="W2" s="5">
        <f>IF(AND(ISNUMBER(V2),ISNUMBER(O2),O2&lt;&gt;0),(V2-O2)/O2,"-")</f>
        <v/>
      </c>
      <c r="X2" s="4" t="n">
        <v>930</v>
      </c>
      <c r="Y2" s="5">
        <f>IF(AND(ISNUMBER(X2),ISNUMBER(P2),P2&lt;&gt;0),(X2-P2)/P2,"-")</f>
        <v/>
      </c>
      <c r="Z2" s="3" t="inlineStr">
        <is>
          <t>26Q3铝土矿930万吨（9.3mdmt），同比持平；SEC 8-K EX-99.1</t>
        </is>
      </c>
      <c r="AA2" s="3" t="inlineStr">
        <is>
          <t>不按年度给铝土矿产量指引</t>
        </is>
      </c>
      <c r="AB2" s="3" t="inlineStr">
        <is>
          <t>SEC 8-K EX-99.1 合并报表口径（非权益）；2026Q2 宣布收购 South32 铝资产（Worsley 等），后续留意并表时点</t>
        </is>
      </c>
    </row>
    <row r="3">
      <c r="A3" s="2" t="inlineStr">
        <is>
          <t>力拓 Rio Tinto</t>
        </is>
      </c>
      <c r="B3" s="2" t="inlineStr">
        <is>
          <t>英国/澳大利亚</t>
        </is>
      </c>
      <c r="C3" s="3" t="inlineStr">
        <is>
          <t>权益产量（可销售矿石，湿吨）</t>
        </is>
      </c>
      <c r="D3" s="4" t="n">
        <v>1208.9</v>
      </c>
      <c r="E3" s="4" t="n">
        <v>1349.2</v>
      </c>
      <c r="F3" s="4" t="n">
        <v>1394</v>
      </c>
      <c r="G3" s="4" t="n">
        <v>1512.5</v>
      </c>
      <c r="H3" s="4" t="n">
        <v>5464.6</v>
      </c>
      <c r="I3" s="4" t="n">
        <v>1340</v>
      </c>
      <c r="J3" s="4" t="n">
        <v>1472.3</v>
      </c>
      <c r="K3" s="4" t="n">
        <v>1510</v>
      </c>
      <c r="L3" s="4" t="n">
        <v>1541.2</v>
      </c>
      <c r="M3" s="4" t="n">
        <v>5865.3</v>
      </c>
      <c r="N3" s="4" t="n">
        <v>1496.6</v>
      </c>
      <c r="O3" s="4" t="n">
        <v>1564.4</v>
      </c>
      <c r="P3" s="4" t="n">
        <v>1639.2</v>
      </c>
      <c r="Q3" s="4" t="n">
        <v>1539.7</v>
      </c>
      <c r="R3" s="4" t="n">
        <v>6240</v>
      </c>
      <c r="S3" s="5">
        <f>IF(AND(ISNUMBER(R3),ISNUMBER(M3),M3&lt;&gt;0),(R3-M3)/M3,"-")</f>
        <v/>
      </c>
      <c r="T3" s="4" t="n">
        <v>1330</v>
      </c>
      <c r="U3" s="5">
        <f>IF(AND(ISNUMBER(T3),ISNUMBER(N3),N3&lt;&gt;0),(T3-N3)/N3,"-")</f>
        <v/>
      </c>
      <c r="V3" s="4" t="n">
        <v>1520</v>
      </c>
      <c r="W3" s="5">
        <f>IF(AND(ISNUMBER(V3),ISNUMBER(O3),O3&lt;&gt;0),(V3-O3)/O3,"-")</f>
        <v/>
      </c>
      <c r="X3" s="4" t="n">
        <v>1574.5</v>
      </c>
      <c r="Y3" s="5">
        <f>IF(AND(ISNUMBER(X3),ISNUMBER(P3),P3&lt;&gt;0),(X3-P3)/P3,"-")</f>
        <v/>
      </c>
      <c r="Z3" s="3" t="inlineStr">
        <is>
          <t>26Q3铝土矿1,574.5万湿吨（15.7448Mt），同比-4%/环比+4%；Rio Q3官方production XLSX</t>
        </is>
      </c>
      <c r="AA3" s="3" t="inlineStr">
        <is>
          <t>5,800–6,100（权益）</t>
        </is>
      </c>
      <c r="AB3" s="3" t="inlineStr">
        <is>
          <t>权益口径、湿吨；23Q4 为全年减前三季推算值</t>
        </is>
      </c>
    </row>
    <row r="4">
      <c r="A4" s="2" t="inlineStr">
        <is>
          <t>海德鲁 Norsk Hydro</t>
        </is>
      </c>
      <c r="B4" s="2" t="inlineStr">
        <is>
          <t>挪威</t>
        </is>
      </c>
      <c r="C4" s="3" t="inlineStr">
        <is>
          <t>Paragominas 矿山（湿基）</t>
        </is>
      </c>
      <c r="D4" s="4" t="n">
        <v>264.8</v>
      </c>
      <c r="E4" s="4" t="n">
        <v>263</v>
      </c>
      <c r="F4" s="4" t="n">
        <v>284.8</v>
      </c>
      <c r="G4" s="4" t="n">
        <v>277.1</v>
      </c>
      <c r="H4" s="4" t="n">
        <v>1089.7</v>
      </c>
      <c r="I4" s="4" t="n">
        <v>260</v>
      </c>
      <c r="J4" s="4" t="n">
        <v>273</v>
      </c>
      <c r="K4" s="4" t="n">
        <v>225.8</v>
      </c>
      <c r="L4" s="4" t="n">
        <v>291.8</v>
      </c>
      <c r="M4" s="4" t="n">
        <v>1050.6</v>
      </c>
      <c r="N4" s="4" t="n">
        <v>245.4</v>
      </c>
      <c r="O4" s="4" t="n">
        <v>273.4</v>
      </c>
      <c r="P4" s="4" t="n">
        <v>255</v>
      </c>
      <c r="Q4" s="4" t="n">
        <v>277.8</v>
      </c>
      <c r="R4" s="4" t="n">
        <v>1051.6</v>
      </c>
      <c r="S4" s="5">
        <f>IF(AND(ISNUMBER(R4),ISNUMBER(M4),M4&lt;&gt;0),(R4-M4)/M4,"-")</f>
        <v/>
      </c>
      <c r="T4" s="4" t="n">
        <v>262.6</v>
      </c>
      <c r="U4" s="5">
        <f>IF(AND(ISNUMBER(T4),ISNUMBER(N4),N4&lt;&gt;0),(T4-N4)/N4,"-")</f>
        <v/>
      </c>
      <c r="V4" s="4" t="n">
        <v>264.8</v>
      </c>
      <c r="W4" s="5">
        <f>IF(AND(ISNUMBER(V4),ISNUMBER(O4),O4&lt;&gt;0),(V4-O4)/O4,"-")</f>
        <v/>
      </c>
      <c r="X4" s="4" t="n">
        <v>241</v>
      </c>
      <c r="Y4" s="5">
        <f>IF(AND(ISNUMBER(X4),ISNUMBER(P4),P4&lt;&gt;0),(X4-P4)/P4,"-")</f>
        <v/>
      </c>
      <c r="Z4" s="3" t="inlineStr">
        <is>
          <t>26Q3 Paragominas铝土矿241.0万吨（湿基），同比-5%/环比-9%；Hydro Q3 Report</t>
        </is>
      </c>
      <c r="AA4" s="3" t="inlineStr">
        <is>
          <t>无（公司执行 non-guidance policy）</t>
        </is>
      </c>
      <c r="AB4" s="3" t="inlineStr">
        <is>
          <t>Paragominas 湿基产量；公司季报原始披露</t>
        </is>
      </c>
    </row>
    <row r="5">
      <c r="A5" s="2" t="inlineStr">
        <is>
          <t>俄铝 RUSAL</t>
        </is>
      </c>
      <c r="B5" s="2" t="inlineStr">
        <is>
          <t>俄罗斯</t>
        </is>
      </c>
      <c r="C5" s="3" t="inlineStr">
        <is>
          <t>集团100%口径（湿吨，含参股矿份额）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4" t="n">
        <v>1337.6</v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4" t="n">
        <v>1588.5</v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-</t>
        </is>
      </c>
      <c r="R5" s="4" t="n">
        <v>1845.3</v>
      </c>
      <c r="S5" s="5">
        <f>IF(AND(ISNUMBER(R5),ISNUMBER(M5),M5&lt;&gt;0),(R5-M5)/M5,"-")</f>
        <v/>
      </c>
      <c r="T5" s="2" t="n">
        <v>545.25</v>
      </c>
      <c r="U5" s="5">
        <f>IF(AND(ISNUMBER(T5),ISNUMBER(N5),N5&lt;&gt;0),(T5-N5)/N5,"-")</f>
        <v/>
      </c>
      <c r="V5" s="2" t="n">
        <v>545.25</v>
      </c>
      <c r="W5" s="5">
        <f>IF(AND(ISNUMBER(V5),ISNUMBER(O5),O5&lt;&gt;0),(V5-O5)/O5,"-")</f>
        <v/>
      </c>
      <c r="X5" s="2" t="inlineStr">
        <is>
          <t>-</t>
        </is>
      </c>
      <c r="Y5" s="5">
        <f>IF(AND(ISNUMBER(X5),ISNUMBER(P5),P5&lt;&gt;0),(X5-P5)/P5,"-")</f>
        <v/>
      </c>
      <c r="Z5" s="3" t="inlineStr">
        <is>
          <t>2026H1（8/19 港交所中报）：铝土矿产量 1,090.5 万湿吨（+12.8%）——半年口径，季度不拆；26Q1 未披露，Q1=Q2=H1/2=545.25 拟合。源：RUSAL 2026 中期业绩（HKEX 2026-08-19）</t>
        </is>
      </c>
      <c r="AA5" s="3" t="inlineStr">
        <is>
          <t>无</t>
        </is>
      </c>
      <c r="AB5" s="3" t="inlineStr">
        <is>
          <t>2022 年起停发季报，仅半年度/年度披露（H1：23年675.4推算/24年794.0/25年966.8）；湿吨；2026H1=1,090.5（湿吨，HKEX 中报原文 Bauxite (wet) 10,905kt），Q1 未披露两季平分拟合</t>
        </is>
      </c>
    </row>
    <row r="6">
      <c r="A6" s="2" t="inlineStr">
        <is>
          <t>South32</t>
        </is>
      </c>
      <c r="B6" s="2" t="inlineStr">
        <is>
          <t>澳大利亚</t>
        </is>
      </c>
      <c r="C6" s="3" t="inlineStr">
        <is>
          <t>季报不披露铝土矿产量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-</t>
        </is>
      </c>
      <c r="Q6" s="2" t="inlineStr">
        <is>
          <t>-</t>
        </is>
      </c>
      <c r="R6" s="2" t="inlineStr">
        <is>
          <t>-</t>
        </is>
      </c>
      <c r="S6" s="5">
        <f>IF(AND(ISNUMBER(R6),ISNUMBER(M6),M6&lt;&gt;0),(R6-M6)/M6,"-")</f>
        <v/>
      </c>
      <c r="T6" s="2" t="inlineStr">
        <is>
          <t>-</t>
        </is>
      </c>
      <c r="U6" s="5">
        <f>IF(AND(ISNUMBER(T6),ISNUMBER(N6),N6&lt;&gt;0),(T6-N6)/N6,"-")</f>
        <v/>
      </c>
      <c r="V6" s="2" t="inlineStr">
        <is>
          <t>-</t>
        </is>
      </c>
      <c r="W6" s="5">
        <f>IF(AND(ISNUMBER(V6),ISNUMBER(O6),O6&lt;&gt;0),(V6-O6)/O6,"-")</f>
        <v/>
      </c>
      <c r="X6" s="2" t="inlineStr">
        <is>
          <t>-</t>
        </is>
      </c>
      <c r="Y6" s="5">
        <f>IF(AND(ISNUMBER(X6),ISNUMBER(P6),P6&lt;&gt;0),(X6-P6)/P6,"-")</f>
        <v/>
      </c>
      <c r="Z6" s="3" t="inlineStr">
        <is>
          <t>-</t>
        </is>
      </c>
      <c r="AA6" s="3" t="inlineStr">
        <is>
          <t>-</t>
        </is>
      </c>
      <c r="AB6" s="3" t="inlineStr">
        <is>
          <t>Worsley 配套 Boddington 矿自供、巴西 MRN 为 33% 非运营权益，季报产量表不含铝土矿</t>
        </is>
      </c>
    </row>
    <row r="7">
      <c r="A7" s="2" t="inlineStr">
        <is>
          <t>NALCO</t>
        </is>
      </c>
      <c r="B7" s="2" t="inlineStr">
        <is>
          <t>印度</t>
        </is>
      </c>
      <c r="C7" s="3" t="inlineStr">
        <is>
          <t>财年止3月（lakh tonnes×10）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4" t="n">
        <v>752.7</v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s="2" t="inlineStr">
        <is>
          <t>-</t>
        </is>
      </c>
      <c r="R7" s="4" t="n">
        <v>764.8</v>
      </c>
      <c r="S7" s="5">
        <f>IF(AND(ISNUMBER(R7),ISNUMBER(M7),M7&lt;&gt;0),(R7-M7)/M7,"-")</f>
        <v/>
      </c>
      <c r="T7" s="2" t="inlineStr">
        <is>
          <t>-</t>
        </is>
      </c>
      <c r="U7" s="5">
        <f>IF(AND(ISNUMBER(T7),ISNUMBER(N7),N7&lt;&gt;0),(T7-N7)/N7,"-")</f>
        <v/>
      </c>
      <c r="V7" s="2" t="n">
        <v>182.9</v>
      </c>
      <c r="W7" s="5">
        <f>IF(AND(ISNUMBER(V7),ISNUMBER(O7),O7&lt;&gt;0),(V7-O7)/O7,"-")</f>
        <v/>
      </c>
      <c r="X7" s="2" t="inlineStr">
        <is>
          <t>待发布(预计2026-11上旬)</t>
        </is>
      </c>
      <c r="Y7" s="5">
        <f>IF(AND(ISNUMBER(X7),ISNUMBER(P7),P7&lt;&gt;0),(X7-P7)/P7,"-")</f>
        <v/>
      </c>
      <c r="Z7" s="3" t="inlineStr">
        <is>
          <t>Q1FY27(=26Q2)：铝土矿产量182.9万吨（官方演示稿Physical Performance；新闻稿开采口径195.2万吨创Q1纪录）</t>
        </is>
      </c>
      <c r="AA7" s="3" t="inlineStr">
        <is>
          <t>无（Pottangi 铝土矿计划 2026 年 6 月启动投产）</t>
        </is>
      </c>
      <c r="AB7" s="3" t="inlineStr">
        <is>
          <t>财年止3月：FY24=752.7（运输口径，开采量未找到）列于24总计，FY25=764.8（开采，创纪录）列于25总计；季度绝对量不披露；FY26 值见变化原因</t>
        </is>
      </c>
    </row>
    <row r="8">
      <c r="A8" s="2" t="inlineStr">
        <is>
          <t>中国铝业</t>
        </is>
      </c>
      <c r="B8" s="2" t="inlineStr">
        <is>
          <t>中国</t>
        </is>
      </c>
      <c r="C8" s="3" t="inlineStr">
        <is>
          <t>年报披露（100%合并口径）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4" t="n">
        <v>3042</v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s="2" t="inlineStr">
        <is>
          <t>-</t>
        </is>
      </c>
      <c r="R8" s="2" t="inlineStr">
        <is>
          <t>-</t>
        </is>
      </c>
      <c r="S8" s="5">
        <f>IF(AND(ISNUMBER(R8),ISNUMBER(M8),M8&lt;&gt;0),(R8-M8)/M8,"-")</f>
        <v/>
      </c>
      <c r="T8" s="2" t="inlineStr">
        <is>
          <t>-</t>
        </is>
      </c>
      <c r="U8" s="5">
        <f>IF(AND(ISNUMBER(T8),ISNUMBER(N8),N8&lt;&gt;0),(T8-N8)/N8,"-")</f>
        <v/>
      </c>
      <c r="V8" s="2" t="inlineStr">
        <is>
          <t>-</t>
        </is>
      </c>
      <c r="W8" s="5">
        <f>IF(AND(ISNUMBER(V8),ISNUMBER(O8),O8&lt;&gt;0),(V8-O8)/O8,"-")</f>
        <v/>
      </c>
      <c r="X8" s="2" t="inlineStr">
        <is>
          <t>-</t>
        </is>
      </c>
      <c r="Y8" s="5">
        <f>IF(AND(ISNUMBER(X8),ISNUMBER(P8),P8&lt;&gt;0),(X8-P8)/P8,"-")</f>
        <v/>
      </c>
      <c r="Z8" s="3" t="inlineStr">
        <is>
          <t>2026中报(8/27)未披露铝土矿产量（中铝半年报惯例不披露,年报才有）</t>
        </is>
      </c>
      <c r="AA8" s="3" t="inlineStr">
        <is>
          <t>-</t>
        </is>
      </c>
      <c r="AB8" s="3" t="inlineStr">
        <is>
          <t>仅 2023 年报披露铝土矿产量 3,042 万吨；2024/2025 年报数据未核到，待补</t>
        </is>
      </c>
    </row>
    <row r="9">
      <c r="A9" s="2" t="inlineStr">
        <is>
          <t>天山铝业</t>
        </is>
      </c>
      <c r="B9" s="2" t="inlineStr">
        <is>
          <t>中国</t>
        </is>
      </c>
      <c r="C9" s="3" t="inlineStr">
        <is>
          <t>几内亚项目（采矿口径，非发运量）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  <c r="P9" s="2" t="inlineStr">
        <is>
          <t>-</t>
        </is>
      </c>
      <c r="Q9" s="2" t="inlineStr">
        <is>
          <t>-</t>
        </is>
      </c>
      <c r="R9" s="4" t="n">
        <v>100</v>
      </c>
      <c r="S9" s="5">
        <f>IF(AND(ISNUMBER(R9),ISNUMBER(M9),M9&lt;&gt;0),(R9-M9)/M9,"-")</f>
        <v/>
      </c>
      <c r="T9" s="2" t="inlineStr">
        <is>
          <t>-</t>
        </is>
      </c>
      <c r="U9" s="5">
        <f>IF(AND(ISNUMBER(T9),ISNUMBER(N9),N9&lt;&gt;0),(T9-N9)/N9,"-")</f>
        <v/>
      </c>
      <c r="V9" s="2" t="inlineStr">
        <is>
          <t>-</t>
        </is>
      </c>
      <c r="W9" s="5">
        <f>IF(AND(ISNUMBER(V9),ISNUMBER(O9),O9&lt;&gt;0),(V9-O9)/O9,"-")</f>
        <v/>
      </c>
      <c r="X9" s="2" t="inlineStr">
        <is>
          <t>-</t>
        </is>
      </c>
      <c r="Y9" s="5">
        <f>IF(AND(ISNUMBER(X9),ISNUMBER(P9),P9&lt;&gt;0),(X9-P9)/P9,"-")</f>
        <v/>
      </c>
      <c r="Z9" s="3" t="inlineStr">
        <is>
          <t>几内亚铝土矿2025年进入生产开采并发运回国；2026中报(8/25)复核无铝土矿开采量绝对值（仅定性"产能及运力仍在爬升中"），26Q2保持空缺(2026-10-14复核)</t>
        </is>
      </c>
      <c r="AA9" s="3" t="inlineStr">
        <is>
          <t>-</t>
        </is>
      </c>
      <c r="AB9" s="3" t="inlineStr">
        <is>
          <t>2025 年报表述为'采矿超100万吨'，100 为下限、采矿口径而非发运量；2023-2024 尚未规模开采｜2025年报：自产铝锭毛利率30.46%、氧化铝9.7%(价跌+成本上行)；几内亚全链条运营元年；2026计划原铝135万吨</t>
        </is>
      </c>
    </row>
    <row r="10">
      <c r="A10" s="2" t="inlineStr">
        <is>
          <t>Metro Mining</t>
        </is>
      </c>
      <c r="B10" s="2" t="inlineStr">
        <is>
          <t>澳大利亚</t>
        </is>
      </c>
      <c r="C10" s="3" t="inlineStr">
        <is>
          <t>Bauxite Hills（发运量·湿吨）</t>
        </is>
      </c>
      <c r="D10" s="2" t="n">
        <v>0</v>
      </c>
      <c r="E10" s="2" t="n">
        <v>130</v>
      </c>
      <c r="F10" s="2" t="n">
        <v>160</v>
      </c>
      <c r="G10" s="2" t="n">
        <v>170</v>
      </c>
      <c r="H10" s="2" t="inlineStr">
        <is>
          <t>-</t>
        </is>
      </c>
      <c r="I10" s="2" t="n">
        <v>8</v>
      </c>
      <c r="J10" s="2" t="n">
        <v>142</v>
      </c>
      <c r="K10" s="2" t="n">
        <v>213</v>
      </c>
      <c r="L10" s="2" t="n">
        <v>205.27</v>
      </c>
      <c r="M10" s="2" t="inlineStr">
        <is>
          <t>-</t>
        </is>
      </c>
      <c r="N10" s="2" t="n">
        <v>18.4</v>
      </c>
      <c r="O10" s="2" t="n">
        <v>170</v>
      </c>
      <c r="P10" s="2" t="n">
        <v>225</v>
      </c>
      <c r="Q10" s="2" t="n">
        <v>206</v>
      </c>
      <c r="R10" s="2" t="inlineStr">
        <is>
          <t>-</t>
        </is>
      </c>
      <c r="S10" s="5">
        <f>IF(AND(ISNUMBER(R10),ISNUMBER(M10),M10&lt;&gt;0),(R10-M10)/M10,"-")</f>
        <v/>
      </c>
      <c r="T10" s="2" t="n">
        <v>10</v>
      </c>
      <c r="U10" s="5">
        <f>IF(AND(ISNUMBER(T10),ISNUMBER(N10),N10&lt;&gt;0),(T10-N10)/N10,"-")</f>
        <v/>
      </c>
      <c r="V10" s="2" t="n">
        <v>180</v>
      </c>
      <c r="W10" s="5">
        <f>IF(AND(ISNUMBER(V10),ISNUMBER(O10),O10&lt;&gt;0),(V10-O10)/O10,"-")</f>
        <v/>
      </c>
      <c r="X10" s="2" t="inlineStr">
        <is>
          <t>待发布(预计2026-10月末)</t>
        </is>
      </c>
      <c r="Y10" s="5">
        <f>IF(AND(ISNUMBER(X10),ISNUMBER(P10),P10&lt;&gt;0),(X10-P10)/P10,"-")</f>
        <v/>
      </c>
      <c r="Z10" s="3" t="inlineStr">
        <is>
          <t>26Q2发运180万吨(+7%,Q2纪录)；Q1雨季基本停产，强季节性</t>
        </is>
      </c>
      <c r="AA10" s="3" t="inlineStr">
        <is>
          <t>2026发运指引660-710万湿吨</t>
        </is>
      </c>
      <c r="AB10" s="3" t="inlineStr">
        <is>
          <t>发运量(shipments)口径·湿公吨WMT（产量仅零星披露且≈发运量）；26Q2来自2026-07-07运营更新，正式季报未出</t>
        </is>
      </c>
    </row>
    <row r="11">
      <c r="A11" s="2" t="inlineStr">
        <is>
          <t>Ma'aden</t>
        </is>
      </c>
      <c r="B11" s="2" t="inlineStr">
        <is>
          <t>沙特</t>
        </is>
      </c>
      <c r="C11" s="3" t="inlineStr">
        <is>
          <t>Al Ba'itha铝土矿（采矿口径）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  <c r="P11" s="2" t="inlineStr">
        <is>
          <t>-</t>
        </is>
      </c>
      <c r="Q11" s="2" t="inlineStr">
        <is>
          <t>-</t>
        </is>
      </c>
      <c r="R11" s="2" t="inlineStr">
        <is>
          <t>-</t>
        </is>
      </c>
      <c r="S11" s="5">
        <f>IF(AND(ISNUMBER(R11),ISNUMBER(M11),M11&lt;&gt;0),(R11-M11)/M11,"-")</f>
        <v/>
      </c>
      <c r="T11" s="2" t="inlineStr">
        <is>
          <t>-</t>
        </is>
      </c>
      <c r="U11" s="5">
        <f>IF(AND(ISNUMBER(T11),ISNUMBER(N11),N11&lt;&gt;0),(T11-N11)/N11,"-")</f>
        <v/>
      </c>
      <c r="V11" s="2" t="inlineStr">
        <is>
          <t>未找到</t>
        </is>
      </c>
      <c r="W11" s="5">
        <f>IF(AND(ISNUMBER(V11),ISNUMBER(O11),O11&lt;&gt;0),(V11-O11)/O11,"-")</f>
        <v/>
      </c>
      <c r="X11" s="2" t="inlineStr">
        <is>
          <t>待发布(预计2026-11上旬)</t>
        </is>
      </c>
      <c r="Y11" s="5">
        <f>IF(AND(ISNUMBER(X11),ISNUMBER(P11),P11&lt;&gt;0),(X11-P11)/P11,"-")</f>
        <v/>
      </c>
      <c r="Z11" s="3" t="inlineStr">
        <is>
          <t>Ma'aden Q2 2026 已披露（铝板块收入+49%），但铝土矿分季产量未见公开披露 → 未找到。源：Ma'aden Q2 2026 / AlCircle 2026-08-11</t>
        </is>
      </c>
      <c r="AA11" s="3" t="n"/>
      <c r="AB11" s="3" t="inlineStr">
        <is>
          <t>季报（Tadawul）≈季后4-5周；2026-08-18新增骨架行，数据待回填</t>
        </is>
      </c>
    </row>
    <row r="12">
      <c r="A12" s="6" t="inlineStr">
        <is>
          <t>总计</t>
        </is>
      </c>
      <c r="B12" s="6" t="inlineStr">
        <is>
          <t>-</t>
        </is>
      </c>
      <c r="C12" s="6" t="inlineStr">
        <is>
          <t>表中公司合计（口径混杂，仅供参考）</t>
        </is>
      </c>
      <c r="D12" s="7">
        <f>SUM(D2:D11)</f>
        <v/>
      </c>
      <c r="E12" s="7">
        <f>SUM(E2:E11)</f>
        <v/>
      </c>
      <c r="F12" s="7">
        <f>SUM(F2:F11)</f>
        <v/>
      </c>
      <c r="G12" s="7">
        <f>SUM(G2:G11)</f>
        <v/>
      </c>
      <c r="H12" s="7">
        <f>SUM(H2:H11)</f>
        <v/>
      </c>
      <c r="I12" s="7">
        <f>SUM(I2:I11)</f>
        <v/>
      </c>
      <c r="J12" s="7">
        <f>SUM(J2:J11)</f>
        <v/>
      </c>
      <c r="K12" s="7">
        <f>SUM(K2:K11)</f>
        <v/>
      </c>
      <c r="L12" s="7">
        <f>SUM(L2:L11)</f>
        <v/>
      </c>
      <c r="M12" s="7">
        <f>SUM(M2:M11)</f>
        <v/>
      </c>
      <c r="N12" s="7">
        <f>SUM(N2:N11)</f>
        <v/>
      </c>
      <c r="O12" s="7">
        <f>SUM(O2:O11)</f>
        <v/>
      </c>
      <c r="P12" s="7">
        <f>SUM(P2:P11)</f>
        <v/>
      </c>
      <c r="Q12" s="7">
        <f>SUM(Q2:Q11)</f>
        <v/>
      </c>
      <c r="R12" s="7">
        <f>SUM(R2:R11)</f>
        <v/>
      </c>
      <c r="S12" s="8">
        <f>IF(AND(ISNUMBER(R12),ISNUMBER(M12),M12&lt;&gt;0),(R12-M12)/M12,"-")</f>
        <v/>
      </c>
      <c r="T12" s="7">
        <f>SUM(T2:T11)</f>
        <v/>
      </c>
      <c r="U12" s="8">
        <f>IF(AND(ISNUMBER(T12),ISNUMBER(N12),N12&lt;&gt;0),(T12-N12)/N12,"-")</f>
        <v/>
      </c>
      <c r="V12" s="7">
        <f>SUM(V2:V11)</f>
        <v/>
      </c>
      <c r="W12" s="8">
        <f>IF(AND(ISNUMBER(V12),ISNUMBER(O12),O12&lt;&gt;0),(V12-O12)/O12,"-")</f>
        <v/>
      </c>
      <c r="X12" s="7">
        <f>SUM(X2:X11)</f>
        <v/>
      </c>
      <c r="Y12" s="8">
        <f>IF(AND(ISNUMBER(X12),ISNUMBER(P12),P12&lt;&gt;0),(X12-P12)/P12,"-")</f>
        <v/>
      </c>
      <c r="Z12" s="6" t="inlineStr">
        <is>
          <t>-</t>
        </is>
      </c>
      <c r="AA12" s="6" t="inlineStr">
        <is>
          <t>-</t>
        </is>
      </c>
      <c r="AB12" s="9" t="inlineStr">
        <is>
          <t>有数据列直接求和；注意口径混杂（权益/100%合并/湿吨/半年度/财年值），仅作量级参考。俄铝为年度值（计入总计列）；NALCO 为财年值（财年止3月）；South32 财年止6月；印度三家财年止3月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30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8.5" customWidth="1" min="25" max="25"/>
    <col width="55" customWidth="1" min="26" max="26"/>
  </cols>
  <sheetData>
    <row r="1" ht="24" customHeight="1">
      <c r="A1" s="1" t="inlineStr">
        <is>
          <t>公司</t>
        </is>
      </c>
      <c r="B1" s="1" t="inlineStr">
        <is>
          <t>国家</t>
        </is>
      </c>
      <c r="C1" s="1" t="inlineStr">
        <is>
          <t>项目/口径</t>
        </is>
      </c>
      <c r="D1" s="1" t="inlineStr">
        <is>
          <t>23Q1</t>
        </is>
      </c>
      <c r="E1" s="1" t="inlineStr">
        <is>
          <t>23Q2</t>
        </is>
      </c>
      <c r="F1" s="1" t="inlineStr">
        <is>
          <t>23Q3</t>
        </is>
      </c>
      <c r="G1" s="1" t="inlineStr">
        <is>
          <t>23Q4</t>
        </is>
      </c>
      <c r="H1" s="1" t="inlineStr">
        <is>
          <t>23总计</t>
        </is>
      </c>
      <c r="I1" s="1" t="inlineStr">
        <is>
          <t>24Q1</t>
        </is>
      </c>
      <c r="J1" s="1" t="inlineStr">
        <is>
          <t>24Q2</t>
        </is>
      </c>
      <c r="K1" s="1" t="inlineStr">
        <is>
          <t>24Q3</t>
        </is>
      </c>
      <c r="L1" s="1" t="inlineStr">
        <is>
          <t>24Q4</t>
        </is>
      </c>
      <c r="M1" s="1" t="inlineStr">
        <is>
          <t>24总计</t>
        </is>
      </c>
      <c r="N1" s="1" t="inlineStr">
        <is>
          <t>25Q1</t>
        </is>
      </c>
      <c r="O1" s="1" t="inlineStr">
        <is>
          <t>25Q2</t>
        </is>
      </c>
      <c r="P1" s="1" t="inlineStr">
        <is>
          <t>25Q3</t>
        </is>
      </c>
      <c r="Q1" s="1" t="inlineStr">
        <is>
          <t>25Q4</t>
        </is>
      </c>
      <c r="R1" s="1" t="inlineStr">
        <is>
          <t>25总计</t>
        </is>
      </c>
      <c r="S1" s="1" t="inlineStr">
        <is>
          <t>25同比</t>
        </is>
      </c>
      <c r="T1" s="1" t="inlineStr">
        <is>
          <t>26Q1</t>
        </is>
      </c>
      <c r="U1" s="1" t="inlineStr">
        <is>
          <t>26Q1同比</t>
        </is>
      </c>
      <c r="V1" s="1" t="inlineStr">
        <is>
          <t>26Q2</t>
        </is>
      </c>
      <c r="W1" s="1" t="inlineStr">
        <is>
          <t>26Q2同比</t>
        </is>
      </c>
      <c r="X1" s="1" t="inlineStr">
        <is>
          <t>26Q3</t>
        </is>
      </c>
      <c r="Y1" s="1" t="inlineStr">
        <is>
          <t>26Q3同比</t>
        </is>
      </c>
      <c r="Z1" s="1" t="inlineStr">
        <is>
          <t>变化原因</t>
        </is>
      </c>
      <c r="AA1" s="1" t="inlineStr">
        <is>
          <t>FY2026指引</t>
        </is>
      </c>
      <c r="AB1" s="1" t="inlineStr">
        <is>
          <t>备注</t>
        </is>
      </c>
    </row>
    <row r="2">
      <c r="A2" s="2" t="inlineStr">
        <is>
          <t>美铝 Alcoa</t>
        </is>
      </c>
      <c r="B2" s="2" t="inlineStr">
        <is>
          <t>美国</t>
        </is>
      </c>
      <c r="C2" s="3" t="inlineStr">
        <is>
          <t>合并口径（第三方+自用总产量）</t>
        </is>
      </c>
      <c r="D2" s="4" t="n">
        <v>275.5</v>
      </c>
      <c r="E2" s="4" t="n">
        <v>255.9</v>
      </c>
      <c r="F2" s="4" t="n">
        <v>280.5</v>
      </c>
      <c r="G2" s="4" t="n">
        <v>278.9</v>
      </c>
      <c r="H2" s="4" t="n">
        <v>1090.8</v>
      </c>
      <c r="I2" s="4" t="n">
        <v>267</v>
      </c>
      <c r="J2" s="4" t="n">
        <v>253.9</v>
      </c>
      <c r="K2" s="4" t="n">
        <v>243.5</v>
      </c>
      <c r="L2" s="4" t="n">
        <v>239</v>
      </c>
      <c r="M2" s="4" t="n">
        <v>1003.4</v>
      </c>
      <c r="N2" s="4" t="n">
        <v>235.5</v>
      </c>
      <c r="O2" s="4" t="n">
        <v>235.1</v>
      </c>
      <c r="P2" s="4" t="n">
        <v>245.3</v>
      </c>
      <c r="Q2" s="4" t="n">
        <v>248.1</v>
      </c>
      <c r="R2" s="4" t="n">
        <v>964</v>
      </c>
      <c r="S2" s="5">
        <f>IF(AND(ISNUMBER(R2),ISNUMBER(M2),M2&lt;&gt;0),(R2-M2)/M2,"-")</f>
        <v/>
      </c>
      <c r="T2" s="4" t="n">
        <v>235.5</v>
      </c>
      <c r="U2" s="5">
        <f>IF(AND(ISNUMBER(T2),ISNUMBER(N2),N2&lt;&gt;0),(T2-N2)/N2,"-")</f>
        <v/>
      </c>
      <c r="V2" s="4" t="n">
        <v>221.8</v>
      </c>
      <c r="W2" s="5">
        <f>IF(AND(ISNUMBER(V2),ISNUMBER(O2),O2&lt;&gt;0),(V2-O2)/O2,"-")</f>
        <v/>
      </c>
      <c r="X2" s="4" t="n">
        <v>246.7</v>
      </c>
      <c r="Y2" s="5">
        <f>IF(AND(ISNUMBER(X2),ISNUMBER(P2),P2&lt;&gt;0),(X2-P2)/P2,"-")</f>
        <v/>
      </c>
      <c r="Z2" s="3" t="inlineStr">
        <is>
          <t>26Q3氧化铝246.7万吨，环比+11%：Pinjarra运行稳定性改善；SEC 8-K EX-99.1</t>
        </is>
      </c>
      <c r="AA2" s="3" t="inlineStr">
        <is>
          <t>950–960（自 970–990 下调）</t>
        </is>
      </c>
      <c r="AB2" s="3" t="inlineStr">
        <is>
          <t>SEC 8-K 合并口径；产量不拆第三方/自用（仅发运量有拆分）；2026Q2 宣布收购 South32 铝资产</t>
        </is>
      </c>
    </row>
    <row r="3">
      <c r="A3" s="2" t="inlineStr">
        <is>
          <t>力拓 Rio Tinto</t>
        </is>
      </c>
      <c r="B3" s="2" t="inlineStr">
        <is>
          <t>英国/澳大利亚</t>
        </is>
      </c>
      <c r="C3" s="3" t="inlineStr">
        <is>
          <t>权益产量（冶金级）</t>
        </is>
      </c>
      <c r="D3" s="4" t="n">
        <v>186.1</v>
      </c>
      <c r="E3" s="4" t="n">
        <v>186</v>
      </c>
      <c r="F3" s="4" t="n">
        <v>189.7</v>
      </c>
      <c r="G3" s="4" t="n">
        <v>191.1</v>
      </c>
      <c r="H3" s="4" t="n">
        <v>752.9</v>
      </c>
      <c r="I3" s="4" t="n">
        <v>186.4</v>
      </c>
      <c r="J3" s="4" t="n">
        <v>167.6</v>
      </c>
      <c r="K3" s="4" t="n">
        <v>177</v>
      </c>
      <c r="L3" s="4" t="n">
        <v>199.3</v>
      </c>
      <c r="M3" s="4" t="n">
        <v>730.3</v>
      </c>
      <c r="N3" s="4" t="n">
        <v>190</v>
      </c>
      <c r="O3" s="4" t="n">
        <v>180</v>
      </c>
      <c r="P3" s="4" t="n">
        <v>190</v>
      </c>
      <c r="Q3" s="4" t="n">
        <v>200</v>
      </c>
      <c r="R3" s="4" t="n">
        <v>759.3</v>
      </c>
      <c r="S3" s="5">
        <f>IF(AND(ISNUMBER(R3),ISNUMBER(M3),M3&lt;&gt;0),(R3-M3)/M3,"-")</f>
        <v/>
      </c>
      <c r="T3" s="4" t="n">
        <v>204</v>
      </c>
      <c r="U3" s="5">
        <f>IF(AND(ISNUMBER(T3),ISNUMBER(N3),N3&lt;&gt;0),(T3-N3)/N3,"-")</f>
        <v/>
      </c>
      <c r="V3" s="4" t="n">
        <v>200</v>
      </c>
      <c r="W3" s="5">
        <f>IF(AND(ISNUMBER(V3),ISNUMBER(O3),O3&lt;&gt;0),(V3-O3)/O3,"-")</f>
        <v/>
      </c>
      <c r="X3" s="4" t="n">
        <v>207.1</v>
      </c>
      <c r="Y3" s="5">
        <f>IF(AND(ISNUMBER(X3),ISNUMBER(P3),P3&lt;&gt;0),(X3-P3)/P3,"-")</f>
        <v/>
      </c>
      <c r="Z3" s="3" t="inlineStr">
        <is>
          <t>26Q3氧化铝207.1万吨，同比+10%/环比+3%；QAL继续100%并表；Rio Q3官方XLSX</t>
        </is>
      </c>
      <c r="AA3" s="3" t="inlineStr">
        <is>
          <t>760–800</t>
        </is>
      </c>
      <c r="AB3" s="3" t="inlineStr">
        <is>
          <t>权益口径；2026Q1 起 QAL 100% 并表（此前 80% 权益）；2023 年多季及 2025 年各季为官方 0.1Mt 精度值或推算值</t>
        </is>
      </c>
    </row>
    <row r="4">
      <c r="A4" s="2" t="inlineStr">
        <is>
          <t>海德鲁 Norsk Hydro</t>
        </is>
      </c>
      <c r="B4" s="2" t="inlineStr">
        <is>
          <t>挪威</t>
        </is>
      </c>
      <c r="C4" s="3" t="inlineStr">
        <is>
          <t>Alunorte（100% 口径）</t>
        </is>
      </c>
      <c r="D4" s="4" t="n">
        <v>155</v>
      </c>
      <c r="E4" s="4" t="n">
        <v>154.2</v>
      </c>
      <c r="F4" s="4" t="n">
        <v>152.2</v>
      </c>
      <c r="G4" s="4" t="n">
        <v>157.1</v>
      </c>
      <c r="H4" s="4" t="n">
        <v>618.5</v>
      </c>
      <c r="I4" s="4" t="n">
        <v>150.3</v>
      </c>
      <c r="J4" s="4" t="n">
        <v>149.2</v>
      </c>
      <c r="K4" s="4" t="n">
        <v>146.3</v>
      </c>
      <c r="L4" s="4" t="n">
        <v>151.6</v>
      </c>
      <c r="M4" s="4" t="n">
        <v>597.3</v>
      </c>
      <c r="N4" s="4" t="n">
        <v>146.5</v>
      </c>
      <c r="O4" s="4" t="n">
        <v>151.6</v>
      </c>
      <c r="P4" s="4" t="n">
        <v>148.8</v>
      </c>
      <c r="Q4" s="4" t="n">
        <v>161.6</v>
      </c>
      <c r="R4" s="4" t="n">
        <v>608.5</v>
      </c>
      <c r="S4" s="5">
        <f>IF(AND(ISNUMBER(R4),ISNUMBER(M4),M4&lt;&gt;0),(R4-M4)/M4,"-")</f>
        <v/>
      </c>
      <c r="T4" s="4" t="n">
        <v>151.5</v>
      </c>
      <c r="U4" s="5">
        <f>IF(AND(ISNUMBER(T4),ISNUMBER(N4),N4&lt;&gt;0),(T4-N4)/N4,"-")</f>
        <v/>
      </c>
      <c r="V4" s="4" t="n">
        <v>150.8</v>
      </c>
      <c r="W4" s="5">
        <f>IF(AND(ISNUMBER(V4),ISNUMBER(O4),O4&lt;&gt;0),(V4-O4)/O4,"-")</f>
        <v/>
      </c>
      <c r="X4" s="4" t="n">
        <v>149.3</v>
      </c>
      <c r="Y4" s="5">
        <f>IF(AND(ISNUMBER(X4),ISNUMBER(P4),P4&lt;&gt;0),(X4-P4)/P4,"-")</f>
        <v/>
      </c>
      <c r="Z4" s="3" t="inlineStr">
        <is>
          <t>26Q3 Alunorte氧化铝149.3万吨，环比-1%：天然气供应中断造成暂时减产，季内已恢复；Hydro Q3 Report</t>
        </is>
      </c>
      <c r="AA4" s="3" t="inlineStr">
        <is>
          <t>无（non-guidance policy）</t>
        </is>
      </c>
      <c r="AB4" s="3" t="inlineStr">
        <is>
          <t>Alunorte 100% 口径（Hydro 持股 62%，披露仍为 100% 产量）</t>
        </is>
      </c>
    </row>
    <row r="5">
      <c r="A5" s="2" t="inlineStr">
        <is>
          <t>俄铝 RUSAL</t>
        </is>
      </c>
      <c r="B5" s="2" t="inlineStr">
        <is>
          <t>俄罗斯</t>
        </is>
      </c>
      <c r="C5" s="3" t="inlineStr">
        <is>
          <t>集团100%口径（含参股份额）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4" t="n">
        <v>513.3</v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4" t="n">
        <v>643</v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-</t>
        </is>
      </c>
      <c r="R5" s="4" t="n">
        <v>685.8</v>
      </c>
      <c r="S5" s="5">
        <f>IF(AND(ISNUMBER(R5),ISNUMBER(M5),M5&lt;&gt;0),(R5-M5)/M5,"-")</f>
        <v/>
      </c>
      <c r="T5" s="2" t="n">
        <v>182.9</v>
      </c>
      <c r="U5" s="5">
        <f>IF(AND(ISNUMBER(T5),ISNUMBER(N5),N5&lt;&gt;0),(T5-N5)/N5,"-")</f>
        <v/>
      </c>
      <c r="V5" s="2" t="n">
        <v>182.9</v>
      </c>
      <c r="W5" s="5">
        <f>IF(AND(ISNUMBER(V5),ISNUMBER(O5),O5&lt;&gt;0),(V5-O5)/O5,"-")</f>
        <v/>
      </c>
      <c r="X5" s="2" t="inlineStr">
        <is>
          <t>-</t>
        </is>
      </c>
      <c r="Y5" s="5">
        <f>IF(AND(ISNUMBER(X5),ISNUMBER(P5),P5&lt;&gt;0),(X5-P5)/P5,"-")</f>
        <v/>
      </c>
      <c r="Z5" s="3" t="inlineStr">
        <is>
          <t>2026H1（8/19 港交所中报）：氧化铝产量 365.8 万吨（+7.6%，增量主要来自 2025-07 收购的印度 Pioneer 氧化铝厂 26% 权益）——半年口径，季度不拆；26Q1 未披露，Q1=Q2=H1/2=182.9 拟合。源：RUSAL 2026 中期业绩（HKEX 2026-08-19）</t>
        </is>
      </c>
      <c r="AA5" s="3" t="inlineStr">
        <is>
          <t>无</t>
        </is>
      </c>
      <c r="AB5" s="3" t="inlineStr">
        <is>
          <t>2022 年起停发季报，仅半年度/年度（H1：24年299.5/25年340.0）；同比分析须注意口径跳变；2026H1=365.8（HKEX 中报原文 Alumina 3,658kt），Q1 未披露两季平分拟合</t>
        </is>
      </c>
    </row>
    <row r="6">
      <c r="A6" s="2" t="inlineStr">
        <is>
          <t>South32 Worsley</t>
        </is>
      </c>
      <c r="B6" s="2" t="inlineStr">
        <is>
          <t>澳大利亚</t>
        </is>
      </c>
      <c r="C6" s="3" t="inlineStr">
        <is>
          <t>86% 权益（财年止6月）</t>
        </is>
      </c>
      <c r="D6" s="2" t="inlineStr">
        <is>
          <t>-</t>
        </is>
      </c>
      <c r="E6" s="2" t="inlineStr">
        <is>
          <t>-</t>
        </is>
      </c>
      <c r="F6" s="4" t="n">
        <v>97.59999999999999</v>
      </c>
      <c r="G6" s="4" t="n">
        <v>96</v>
      </c>
      <c r="H6" s="2" t="inlineStr">
        <is>
          <t>-</t>
        </is>
      </c>
      <c r="I6" s="4" t="n">
        <v>92.5</v>
      </c>
      <c r="J6" s="4" t="n">
        <v>91.3</v>
      </c>
      <c r="K6" s="4" t="n">
        <v>85</v>
      </c>
      <c r="L6" s="4" t="n">
        <v>100</v>
      </c>
      <c r="M6" s="4" t="n">
        <v>368.8</v>
      </c>
      <c r="N6" s="4" t="n">
        <v>94.09999999999999</v>
      </c>
      <c r="O6" s="4" t="n">
        <v>93.59999999999999</v>
      </c>
      <c r="P6" s="4" t="n">
        <v>93.40000000000001</v>
      </c>
      <c r="Q6" s="4" t="n">
        <v>95.90000000000001</v>
      </c>
      <c r="R6" s="4" t="n">
        <v>377</v>
      </c>
      <c r="S6" s="5">
        <f>IF(AND(ISNUMBER(R6),ISNUMBER(M6),M6&lt;&gt;0),(R6-M6)/M6,"-")</f>
        <v/>
      </c>
      <c r="T6" s="4" t="n">
        <v>88.59999999999999</v>
      </c>
      <c r="U6" s="5">
        <f>IF(AND(ISNUMBER(T6),ISNUMBER(N6),N6&lt;&gt;0),(T6-N6)/N6,"-")</f>
        <v/>
      </c>
      <c r="V6" s="4" t="n">
        <v>94.3</v>
      </c>
      <c r="W6" s="5">
        <f>IF(AND(ISNUMBER(V6),ISNUMBER(O6),O6&lt;&gt;0),(V6-O6)/O6,"-")</f>
        <v/>
      </c>
      <c r="X6" s="4" t="n">
        <v>96.59999999999999</v>
      </c>
      <c r="Y6" s="5">
        <f>IF(AND(ISNUMBER(X6),ISNUMBER(P6),P6&lt;&gt;0),(X6-P6)/P6,"-")</f>
        <v/>
      </c>
      <c r="Z6" s="3" t="inlineStr">
        <is>
          <t>26Q3 Worsley氧化铝96.6万吨（86%权益），环比+2%：铝土矿供应改善；South32 FY27Q1</t>
        </is>
      </c>
      <c r="AA6" s="3" t="inlineStr">
        <is>
          <t>FY27（2026.7–2027.6）：390</t>
        </is>
      </c>
      <c r="AB6" s="3" t="inlineStr">
        <is>
          <t>86%权益、可销售产量；财年止6月；2023Q1-Q2 分资产值未找到；2023Q3-2025Q1 多季为推算值；财年合计 FY24 377.7 / FY25 372.7 / FY26 372.2</t>
        </is>
      </c>
    </row>
    <row r="7">
      <c r="A7" s="2" t="inlineStr">
        <is>
          <t>South32 巴西氧化铝</t>
        </is>
      </c>
      <c r="B7" s="2" t="inlineStr">
        <is>
          <t>巴西</t>
        </is>
      </c>
      <c r="C7" s="3" t="inlineStr">
        <is>
          <t>36% 权益（非运营，Alumar）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4" t="n">
        <v>33.4</v>
      </c>
      <c r="L7" s="4" t="n">
        <v>34.8</v>
      </c>
      <c r="M7" s="2" t="inlineStr">
        <is>
          <t>-</t>
        </is>
      </c>
      <c r="N7" s="4" t="n">
        <v>32.4</v>
      </c>
      <c r="O7" s="4" t="n">
        <v>33.4</v>
      </c>
      <c r="P7" s="2" t="inlineStr">
        <is>
          <t>-</t>
        </is>
      </c>
      <c r="Q7" s="2" t="inlineStr">
        <is>
          <t>-</t>
        </is>
      </c>
      <c r="R7" s="2" t="inlineStr">
        <is>
          <t>-</t>
        </is>
      </c>
      <c r="S7" s="5">
        <f>IF(AND(ISNUMBER(R7),ISNUMBER(M7),M7&lt;&gt;0),(R7-M7)/M7,"-")</f>
        <v/>
      </c>
      <c r="T7" s="4" t="n">
        <v>35.1</v>
      </c>
      <c r="U7" s="5">
        <f>IF(AND(ISNUMBER(T7),ISNUMBER(N7),N7&lt;&gt;0),(T7-N7)/N7,"-")</f>
        <v/>
      </c>
      <c r="V7" s="4" t="n">
        <v>35.1</v>
      </c>
      <c r="W7" s="5">
        <f>IF(AND(ISNUMBER(V7),ISNUMBER(O7),O7&lt;&gt;0),(V7-O7)/O7,"-")</f>
        <v/>
      </c>
      <c r="X7" s="4" t="n">
        <v>34.5</v>
      </c>
      <c r="Y7" s="5">
        <f>IF(AND(ISNUMBER(X7),ISNUMBER(P7),P7&lt;&gt;0),(X7-P7)/P7,"-")</f>
        <v/>
      </c>
      <c r="Z7" s="3" t="inlineStr">
        <is>
          <t>26Q3巴西氧化铝34.5万吨（36%权益），环比-2%，炼厂接近铭牌运行；South32 FY27Q1</t>
        </is>
      </c>
      <c r="AA7" s="3" t="inlineStr">
        <is>
          <t>FY27：136</t>
        </is>
      </c>
      <c r="AB7" s="3" t="inlineStr">
        <is>
          <t>36%非运营权益；早期季度未找到；财年合计 FY24 128.6 / FY25 134.0 / FY26 141.1</t>
        </is>
      </c>
    </row>
    <row r="8">
      <c r="A8" s="2" t="inlineStr">
        <is>
          <t>Vedanta（Lanjigarh）</t>
        </is>
      </c>
      <c r="B8" s="2" t="inlineStr">
        <is>
          <t>印度</t>
        </is>
      </c>
      <c r="C8" s="3" t="inlineStr">
        <is>
          <t>100% 口径（财年止3月）</t>
        </is>
      </c>
      <c r="D8" s="4" t="n">
        <v>41.1</v>
      </c>
      <c r="E8" s="4" t="n">
        <v>39.5</v>
      </c>
      <c r="F8" s="4" t="n">
        <v>46.4</v>
      </c>
      <c r="G8" s="4" t="n">
        <v>47</v>
      </c>
      <c r="H8" s="4" t="n">
        <v>174</v>
      </c>
      <c r="I8" s="4" t="n">
        <v>48.4</v>
      </c>
      <c r="J8" s="4" t="n">
        <v>53.9</v>
      </c>
      <c r="K8" s="4" t="n">
        <v>49.9</v>
      </c>
      <c r="L8" s="4" t="n">
        <v>50.5</v>
      </c>
      <c r="M8" s="4" t="n">
        <v>202.7</v>
      </c>
      <c r="N8" s="4" t="n">
        <v>43.1</v>
      </c>
      <c r="O8" s="4" t="n">
        <v>58.7</v>
      </c>
      <c r="P8" s="4" t="n">
        <v>65.3</v>
      </c>
      <c r="Q8" s="4" t="n">
        <v>79.40000000000001</v>
      </c>
      <c r="R8" s="4" t="n">
        <v>246.5</v>
      </c>
      <c r="S8" s="5">
        <f>IF(AND(ISNUMBER(R8),ISNUMBER(M8),M8&lt;&gt;0),(R8-M8)/M8,"-")</f>
        <v/>
      </c>
      <c r="T8" s="4" t="n">
        <v>88.2</v>
      </c>
      <c r="U8" s="5">
        <f>IF(AND(ISNUMBER(T8),ISNUMBER(N8),N8&lt;&gt;0),(T8-N8)/N8,"-")</f>
        <v/>
      </c>
      <c r="V8" s="4" t="n">
        <v>82.8</v>
      </c>
      <c r="W8" s="5">
        <f>IF(AND(ISNUMBER(V8),ISNUMBER(O8),O8&lt;&gt;0),(V8-O8)/O8,"-")</f>
        <v/>
      </c>
      <c r="X8" s="4" t="n">
        <v>89.5</v>
      </c>
      <c r="Y8" s="5">
        <f>IF(AND(ISNUMBER(X8),ISNUMBER(P8),P8&lt;&gt;0),(X8-P8)/P8,"-")</f>
        <v/>
      </c>
      <c r="Z8" s="3" t="inlineStr">
        <is>
          <t>Lanjigarh 扩产 2→3.5→5 Mtpa 逐段投产（2025Q4 Train II 投产、2026Q1 同比+104%）</t>
        </is>
      </c>
      <c r="AA8" s="3" t="inlineStr">
        <is>
          <t>FY27：400–410</t>
        </is>
      </c>
      <c r="AB8" s="3" t="inlineStr">
        <is>
          <t>财年止3月（Q1FY=自然季Q2）；2026Q2≈82.8 为推算值（媒体披露+41% 同比）；2026-05 拆分后归属 VAML</t>
        </is>
      </c>
    </row>
    <row r="9">
      <c r="A9" s="2" t="inlineStr">
        <is>
          <t>Hindalco</t>
        </is>
      </c>
      <c r="B9" s="2" t="inlineStr">
        <is>
          <t>印度</t>
        </is>
      </c>
      <c r="C9" s="3" t="inlineStr">
        <is>
          <t>氧化铝总量含 Utkal（财年止3月）</t>
        </is>
      </c>
      <c r="D9" s="4" t="n">
        <v>86.09999999999999</v>
      </c>
      <c r="E9" s="4" t="n">
        <v>85.5</v>
      </c>
      <c r="F9" s="4" t="n">
        <v>88.2</v>
      </c>
      <c r="G9" s="4" t="n">
        <v>96.09999999999999</v>
      </c>
      <c r="H9" s="4" t="n">
        <v>355.9</v>
      </c>
      <c r="I9" s="4" t="n">
        <v>96.59999999999999</v>
      </c>
      <c r="J9" s="4" t="n">
        <v>96.3</v>
      </c>
      <c r="K9" s="4" t="n">
        <v>96.40000000000001</v>
      </c>
      <c r="L9" s="4" t="n">
        <v>97.90000000000001</v>
      </c>
      <c r="M9" s="4" t="n">
        <v>387.2</v>
      </c>
      <c r="N9" s="4" t="n">
        <v>95.09999999999999</v>
      </c>
      <c r="O9" s="4" t="n">
        <v>95.8</v>
      </c>
      <c r="P9" s="4" t="n">
        <v>92.59999999999999</v>
      </c>
      <c r="Q9" s="4" t="n">
        <v>96.90000000000001</v>
      </c>
      <c r="R9" s="4" t="n">
        <v>380.4</v>
      </c>
      <c r="S9" s="5">
        <f>IF(AND(ISNUMBER(R9),ISNUMBER(M9),M9&lt;&gt;0),(R9-M9)/M9,"-")</f>
        <v/>
      </c>
      <c r="T9" s="4" t="n">
        <v>93.09999999999999</v>
      </c>
      <c r="U9" s="5">
        <f>IF(AND(ISNUMBER(T9),ISNUMBER(N9),N9&lt;&gt;0),(T9-N9)/N9,"-")</f>
        <v/>
      </c>
      <c r="V9" s="2" t="n">
        <v>94.3</v>
      </c>
      <c r="W9" s="5">
        <f>IF(AND(ISNUMBER(V9),ISNUMBER(O9),O9&lt;&gt;0),(V9-O9)/O9,"-")</f>
        <v/>
      </c>
      <c r="X9" s="2" t="inlineStr">
        <is>
          <t>待发布(预计2026-11上旬)</t>
        </is>
      </c>
      <c r="Y9" s="5">
        <f>IF(AND(ISNUMBER(X9),ISNUMBER(P9),P9&lt;&gt;0),(X9-P9)/P9,"-")</f>
        <v/>
      </c>
      <c r="Z9" s="3" t="inlineStr">
        <is>
          <t>Q1FY27（=26Q2，财年止3月）业绩 2026-08-07 披露：氧化铝总产量（Hydrate as Alumina，含 Utkal）943KT=94.3万吨（同比-2%，Q1FY26=958KT；环比 Q4FY26=931KT +1%）；其中 Utkal 654KT（+1% YoY）；铝上游出货量 335KT、上游 EBITDA 创纪录 ₹7,390cr（+81%）。源：Hindalco Q1FY27 Earnings Presentation p.33（hindalco.com，2026-08-07）</t>
        </is>
      </c>
      <c r="AA9" s="3" t="inlineStr">
        <is>
          <t>无量化指引（Aditya 85万吨绿地氧化铝厂目标 FY28）</t>
        </is>
      </c>
      <c r="AB9" s="3" t="inlineStr">
        <is>
          <t>'Hydrate as Alumina'总量（含 Utkal）；财年止3月；个别季度前后版本有±1-2kt 重列；26Q2=94.3已按 Q1FY27 官方演示稿入库（2026-10-14）</t>
        </is>
      </c>
    </row>
    <row r="10">
      <c r="A10" s="2" t="inlineStr">
        <is>
          <t>NALCO</t>
        </is>
      </c>
      <c r="B10" s="2" t="inlineStr">
        <is>
          <t>印度</t>
        </is>
      </c>
      <c r="C10" s="3" t="inlineStr">
        <is>
          <t>焙烧氧化铝（财年止3月）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  <c r="P10" s="2" t="inlineStr">
        <is>
          <t>-</t>
        </is>
      </c>
      <c r="Q10" s="2" t="inlineStr">
        <is>
          <t>-</t>
        </is>
      </c>
      <c r="R10" s="4" t="n">
        <v>204.7</v>
      </c>
      <c r="S10" s="5">
        <f>IF(AND(ISNUMBER(R10),ISNUMBER(M10),M10&lt;&gt;0),(R10-M10)/M10,"-")</f>
        <v/>
      </c>
      <c r="T10" s="2" t="inlineStr">
        <is>
          <t>-</t>
        </is>
      </c>
      <c r="U10" s="5">
        <f>IF(AND(ISNUMBER(T10),ISNUMBER(N10),N10&lt;&gt;0),(T10-N10)/N10,"-")</f>
        <v/>
      </c>
      <c r="V10" s="2" t="n">
        <v>57.7</v>
      </c>
      <c r="W10" s="5">
        <f>IF(AND(ISNUMBER(V10),ISNUMBER(O10),O10&lt;&gt;0),(V10-O10)/O10,"-")</f>
        <v/>
      </c>
      <c r="X10" s="2" t="inlineStr">
        <is>
          <t>待发布(预计2026-11上旬)</t>
        </is>
      </c>
      <c r="Y10" s="5">
        <f>IF(AND(ISNUMBER(X10),ISNUMBER(P10),P10&lt;&gt;0),(X10-P10)/P10,"-")</f>
        <v/>
      </c>
      <c r="Z10" s="3" t="inlineStr">
        <is>
          <t>Q1FY27(=26Q2)：煅烧氧化铝57.7万吨（创Q1纪录；水合物57.8万吨）；官方新闻稿8/1+演示稿</t>
        </is>
      </c>
      <c r="AA10" s="3" t="inlineStr">
        <is>
          <t>无（氧化铝厂第5系列 +1Mt 扩产推进中）</t>
        </is>
      </c>
      <c r="AB10" s="3" t="inlineStr">
        <is>
          <t>财年止3月；FY25≈204.7 为按 FY26 同比反推的推算值；FY24 未找到；季度绝对量不披露；FY26 值见变化原因</t>
        </is>
      </c>
    </row>
    <row r="11">
      <c r="A11" s="2" t="inlineStr">
        <is>
          <t>中国铝业</t>
        </is>
      </c>
      <c r="B11" s="2" t="inlineStr">
        <is>
          <t>中国</t>
        </is>
      </c>
      <c r="C11" s="3" t="inlineStr">
        <is>
          <t>冶金级氧化铝（100%合并口径）</t>
        </is>
      </c>
      <c r="D11" s="4" t="n">
        <v>398</v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4" t="n">
        <v>1667</v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4" t="n">
        <v>1687</v>
      </c>
      <c r="N11" s="4" t="n">
        <v>448</v>
      </c>
      <c r="O11" s="2" t="inlineStr">
        <is>
          <t>-</t>
        </is>
      </c>
      <c r="P11" s="2" t="inlineStr">
        <is>
          <t>-</t>
        </is>
      </c>
      <c r="Q11" s="2" t="inlineStr">
        <is>
          <t>-</t>
        </is>
      </c>
      <c r="R11" s="4" t="n">
        <v>1735</v>
      </c>
      <c r="S11" s="5">
        <f>IF(AND(ISNUMBER(R11),ISNUMBER(M11),M11&lt;&gt;0),(R11-M11)/M11,"-")</f>
        <v/>
      </c>
      <c r="T11" s="4" t="n">
        <v>405</v>
      </c>
      <c r="U11" s="5">
        <f>IF(AND(ISNUMBER(T11),ISNUMBER(N11),N11&lt;&gt;0),(T11-N11)/N11,"-")</f>
        <v/>
      </c>
      <c r="V11" s="2" t="n">
        <v>333</v>
      </c>
      <c r="W11" s="5">
        <f>IF(AND(ISNUMBER(V11),ISNUMBER(O11),O11&lt;&gt;0),(V11-O11)/O11,"-")</f>
        <v/>
      </c>
      <c r="X11" s="2" t="inlineStr">
        <is>
          <t>待发布(预计2026-10-27至28)</t>
        </is>
      </c>
      <c r="Y11" s="5">
        <f>IF(AND(ISNUMBER(X11),ISNUMBER(P11),P11&lt;&gt;0),(X11-P11)/P11,"-")</f>
        <v/>
      </c>
      <c r="Z11" s="3" t="inlineStr">
        <is>
          <t>2026中报(8/27)：H1冶金级氧化铝738万吨(-14.19%)−26Q1 405=333（推算）；另精细氧化铝H1 234万吨(+12.5%)</t>
        </is>
      </c>
      <c r="AA11" s="3" t="inlineStr">
        <is>
          <t>未找到（2025 目标 1,681，实际 1,735）</t>
        </is>
      </c>
      <c r="AB11" s="3" t="inlineStr">
        <is>
          <t>季报仅 Q1 当季/Q3 累计披露产量（25H1 860、2025 前三季 1,304）；另披露精细氧化铝（2025 年 451）｜2025年报：氧化铝板块毛利率约17.5%(-8.86pct，氧化铝均价-21%)；归母净利126.74亿历史最优；2026/1拟联合力拓收购巴西铝业68.6%股权</t>
        </is>
      </c>
    </row>
    <row r="12">
      <c r="A12" s="2" t="inlineStr">
        <is>
          <t>中国宏桥/宏桥控股</t>
        </is>
      </c>
      <c r="B12" s="2" t="inlineStr">
        <is>
          <t>中国</t>
        </is>
      </c>
      <c r="C12" s="3" t="inlineStr">
        <is>
          <t>氧化铝（集团合并口径）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4" t="n">
        <v>1829.8</v>
      </c>
      <c r="N12" s="2" t="inlineStr">
        <is>
          <t>-</t>
        </is>
      </c>
      <c r="O12" s="2" t="inlineStr">
        <is>
          <t>-</t>
        </is>
      </c>
      <c r="P12" s="2" t="inlineStr">
        <is>
          <t>-</t>
        </is>
      </c>
      <c r="Q12" s="2" t="inlineStr">
        <is>
          <t>-</t>
        </is>
      </c>
      <c r="R12" s="4" t="n">
        <v>2013.8</v>
      </c>
      <c r="S12" s="5">
        <f>IF(AND(ISNUMBER(R12),ISNUMBER(M12),M12&lt;&gt;0),(R12-M12)/M12,"-")</f>
        <v/>
      </c>
      <c r="T12" s="2" t="inlineStr">
        <is>
          <t>-</t>
        </is>
      </c>
      <c r="U12" s="5">
        <f>IF(AND(ISNUMBER(T12),ISNUMBER(N12),N12&lt;&gt;0),(T12-N12)/N12,"-")</f>
        <v/>
      </c>
      <c r="V12" s="2" t="inlineStr">
        <is>
          <t>-</t>
        </is>
      </c>
      <c r="W12" s="5">
        <f>IF(AND(ISNUMBER(V12),ISNUMBER(O12),O12&lt;&gt;0),(V12-O12)/O12,"-")</f>
        <v/>
      </c>
      <c r="X12" s="2" t="inlineStr">
        <is>
          <t>-</t>
        </is>
      </c>
      <c r="Y12" s="5">
        <f>IF(AND(ISNUMBER(X12),ISNUMBER(P12),P12&lt;&gt;0),(X12-P12)/P12,"-")</f>
        <v/>
      </c>
      <c r="Z12" s="3" t="inlineStr">
        <is>
          <t>2026中报(8/21港交所)仅销量口径：氧化铝销量691.7万吨(H1,+8.6%)；产量年报才披露</t>
        </is>
      </c>
      <c r="AA12" s="3" t="inlineStr">
        <is>
          <t>无（氧化铝产能 2,100 万吨含印尼 200 万吨）</t>
        </is>
      </c>
      <c r="AB12" s="3" t="inlineStr">
        <is>
          <t>2024 为 2025 年报同口径可比数；2023 及以前港股年报仅披露销量；港股无季报；宏桥控股(002379.SZ)与中国宏桥(1378.HK)为同一资产，不重复计列</t>
        </is>
      </c>
    </row>
    <row r="13">
      <c r="A13" s="2" t="inlineStr">
        <is>
          <t>云铝股份</t>
        </is>
      </c>
      <c r="B13" s="2" t="inlineStr">
        <is>
          <t>中国</t>
        </is>
      </c>
      <c r="C13" s="3" t="inlineStr">
        <is>
          <t>氧化铝（合并口径）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4" t="n">
        <v>142.83</v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4" t="n">
        <v>140.88</v>
      </c>
      <c r="N13" s="2" t="inlineStr">
        <is>
          <t>-</t>
        </is>
      </c>
      <c r="O13" s="2" t="inlineStr">
        <is>
          <t>-</t>
        </is>
      </c>
      <c r="P13" s="2" t="inlineStr">
        <is>
          <t>-</t>
        </is>
      </c>
      <c r="Q13" s="2" t="inlineStr">
        <is>
          <t>-</t>
        </is>
      </c>
      <c r="R13" s="4" t="n">
        <v>130.36</v>
      </c>
      <c r="S13" s="5">
        <f>IF(AND(ISNUMBER(R13),ISNUMBER(M13),M13&lt;&gt;0),(R13-M13)/M13,"-")</f>
        <v/>
      </c>
      <c r="T13" s="2" t="n">
        <v>32.5</v>
      </c>
      <c r="U13" s="5">
        <f>IF(AND(ISNUMBER(T13),ISNUMBER(N13),N13&lt;&gt;0),(T13-N13)/N13,"-")</f>
        <v/>
      </c>
      <c r="V13" s="2" t="n">
        <v>32.5</v>
      </c>
      <c r="W13" s="5">
        <f>IF(AND(ISNUMBER(V13),ISNUMBER(O13),O13&lt;&gt;0),(V13-O13)/O13,"-")</f>
        <v/>
      </c>
      <c r="X13" s="2" t="inlineStr">
        <is>
          <t>-</t>
        </is>
      </c>
      <c r="Y13" s="5">
        <f>IF(AND(ISNUMBER(X13),ISNUMBER(P13),P13&lt;&gt;0),(X13-P13)/P13,"-")</f>
        <v/>
      </c>
      <c r="Z13" s="3" t="inlineStr">
        <is>
          <t>2026中报(8/27)：H1氧化铝产量65万吨(-3%)；Q1未单独披露,记H1累计</t>
        </is>
      </c>
      <c r="AA13" s="3" t="inlineStr">
        <is>
          <t>2026：约130</t>
        </is>
      </c>
      <c r="AB13" s="3" t="inlineStr">
        <is>
          <t>半年报披露 H1（23H1 73.32 / 24H1 72.30 / 25H1 66.97）；季报不披露产量；2026中报H1累计65万吨，Q1未披露，两季平分拟合</t>
        </is>
      </c>
    </row>
    <row r="14">
      <c r="A14" s="2" t="inlineStr">
        <is>
          <t>天山铝业</t>
        </is>
      </c>
      <c r="B14" s="2" t="inlineStr">
        <is>
          <t>中国</t>
        </is>
      </c>
      <c r="C14" s="3" t="inlineStr">
        <is>
          <t>氧化铝（合并口径）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4" t="n">
        <v>211.9</v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4" t="n">
        <v>227.89</v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s="2" t="inlineStr">
        <is>
          <t>-</t>
        </is>
      </c>
      <c r="R14" s="4" t="n">
        <v>251.54</v>
      </c>
      <c r="S14" s="5">
        <f>IF(AND(ISNUMBER(R14),ISNUMBER(M14),M14&lt;&gt;0),(R14-M14)/M14,"-")</f>
        <v/>
      </c>
      <c r="T14" s="2" t="n">
        <v>63.115</v>
      </c>
      <c r="U14" s="5">
        <f>IF(AND(ISNUMBER(T14),ISNUMBER(N14),N14&lt;&gt;0),(T14-N14)/N14,"-")</f>
        <v/>
      </c>
      <c r="V14" s="2" t="n">
        <v>63.115</v>
      </c>
      <c r="W14" s="5">
        <f>IF(AND(ISNUMBER(V14),ISNUMBER(O14),O14&lt;&gt;0),(V14-O14)/O14,"-")</f>
        <v/>
      </c>
      <c r="X14" s="2" t="inlineStr">
        <is>
          <t>-</t>
        </is>
      </c>
      <c r="Y14" s="5">
        <f>IF(AND(ISNUMBER(X14),ISNUMBER(P14),P14&lt;&gt;0),(X14-P14)/P14,"-")</f>
        <v/>
      </c>
      <c r="Z14" s="3" t="inlineStr">
        <is>
          <t>2026中报(8/18)：H1氧化铝产量126.23万吨(+5%)</t>
        </is>
      </c>
      <c r="AA14" s="3" t="inlineStr">
        <is>
          <t>2026：260</t>
        </is>
      </c>
      <c r="AB14" s="3" t="inlineStr">
        <is>
          <t>半年报披露 H1（23H1 102.33 / 24H1 109.30 / 25H1 119.99）；季报不披露产量｜2025年报：氧化铝毛利率9.7%(2025H1尚有14.6%，下半年走弱)；2026中报H1累计126.23万吨，Q1未披露，两季平分拟合</t>
        </is>
      </c>
    </row>
    <row r="15">
      <c r="A15" s="2" t="inlineStr">
        <is>
          <t>创新实业</t>
        </is>
      </c>
      <c r="B15" s="2" t="inlineStr">
        <is>
          <t>中国</t>
        </is>
      </c>
      <c r="C15" s="3" t="inlineStr">
        <is>
          <t>氧化铝（招股书口径，100%）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4" t="n">
        <v>154.61</v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4" t="n">
        <v>153.99</v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s="2" t="inlineStr">
        <is>
          <t>-</t>
        </is>
      </c>
      <c r="R15" s="2" t="inlineStr">
        <is>
          <t>-</t>
        </is>
      </c>
      <c r="S15" s="5">
        <f>IF(AND(ISNUMBER(R15),ISNUMBER(M15),M15&lt;&gt;0),(R15-M15)/M15,"-")</f>
        <v/>
      </c>
      <c r="T15" s="2" t="inlineStr">
        <is>
          <t>-</t>
        </is>
      </c>
      <c r="U15" s="5">
        <f>IF(AND(ISNUMBER(T15),ISNUMBER(N15),N15&lt;&gt;0),(T15-N15)/N15,"-")</f>
        <v/>
      </c>
      <c r="V15" s="2" t="inlineStr">
        <is>
          <t>-</t>
        </is>
      </c>
      <c r="W15" s="5">
        <f>IF(AND(ISNUMBER(V15),ISNUMBER(O15),O15&lt;&gt;0),(V15-O15)/O15,"-")</f>
        <v/>
      </c>
      <c r="X15" s="2" t="n"/>
      <c r="Y15" s="5">
        <f>IF(AND(ISNUMBER(X15),ISNUMBER(P15),P15&lt;&gt;0),(X15-P15)/P15,"-")</f>
        <v/>
      </c>
      <c r="Z15" s="3" t="inlineStr">
        <is>
          <t>2023 产量翻倍系滨州二期 400kt 投产+超产（利用率 128.8%）</t>
        </is>
      </c>
      <c r="AA15" s="3" t="inlineStr">
        <is>
          <t>2,000kt 氧化铝焙烧线 2025-11 试产</t>
        </is>
      </c>
      <c r="AB15" s="3" t="inlineStr">
        <is>
          <t>招股书披露（千吨÷10）；2025 年报未披露绝对产量（仅收入）；2025-11-24 港股上市，无季报</t>
        </is>
      </c>
    </row>
    <row r="16">
      <c r="A16" s="2" t="inlineStr">
        <is>
          <t>Ma'aden</t>
        </is>
      </c>
      <c r="B16" s="2" t="inlineStr">
        <is>
          <t>沙特</t>
        </is>
      </c>
      <c r="C16" s="3" t="inlineStr">
        <is>
          <t>Ras Al Khair氧化铝厂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4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4" t="inlineStr">
        <is>
          <t>-</t>
        </is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  <c r="Q16" s="2" t="inlineStr">
        <is>
          <t>-</t>
        </is>
      </c>
      <c r="R16" s="2" t="inlineStr">
        <is>
          <t>-</t>
        </is>
      </c>
      <c r="S16" s="5">
        <f>IF(AND(ISNUMBER(R16),ISNUMBER(M16),M16&lt;&gt;0),(R16-M16)/M16,"-")</f>
        <v/>
      </c>
      <c r="T16" s="2" t="inlineStr">
        <is>
          <t>-</t>
        </is>
      </c>
      <c r="U16" s="5">
        <f>IF(AND(ISNUMBER(T16),ISNUMBER(N16),N16&lt;&gt;0),(T16-N16)/N16,"-")</f>
        <v/>
      </c>
      <c r="V16" s="2" t="inlineStr">
        <is>
          <t>未找到</t>
        </is>
      </c>
      <c r="W16" s="5">
        <f>IF(AND(ISNUMBER(V16),ISNUMBER(O16),O16&lt;&gt;0),(V16-O16)/O16,"-")</f>
        <v/>
      </c>
      <c r="X16" s="2" t="inlineStr">
        <is>
          <t>待发布(预计2026-11上旬)</t>
        </is>
      </c>
      <c r="Y16" s="5">
        <f>IF(AND(ISNUMBER(X16),ISNUMBER(P16),P16&lt;&gt;0),(X16-P16)/P16,"-")</f>
        <v/>
      </c>
      <c r="Z16" s="3" t="inlineStr">
        <is>
          <t>Ma'aden Q2 2026 已披露，但 Ras Al Khair 氧化铝分季产量未见公开披露（二手源 vision2030 称某季 47.8 万吨，口径待核）→ 未找到。源：Ma'aden Q2 2026 / AlCircle</t>
        </is>
      </c>
      <c r="AA16" s="3" t="n"/>
      <c r="AB16" s="3" t="inlineStr">
        <is>
          <t>季报（Tadawul）≈季后4-5周；2026-08-18新增骨架行，数据待回填</t>
        </is>
      </c>
    </row>
    <row r="17">
      <c r="A17" s="6" t="inlineStr">
        <is>
          <t>总计</t>
        </is>
      </c>
      <c r="B17" s="6" t="inlineStr">
        <is>
          <t>-</t>
        </is>
      </c>
      <c r="C17" s="6" t="inlineStr">
        <is>
          <t>表中公司合计（口径混杂，仅供参考）</t>
        </is>
      </c>
      <c r="D17" s="7">
        <f>SUM(D2:D16)</f>
        <v/>
      </c>
      <c r="E17" s="7">
        <f>SUM(E2:E16)</f>
        <v/>
      </c>
      <c r="F17" s="7">
        <f>SUM(F2:F16)</f>
        <v/>
      </c>
      <c r="G17" s="7">
        <f>SUM(G2:G16)</f>
        <v/>
      </c>
      <c r="H17" s="7">
        <f>SUM(H2:H16)</f>
        <v/>
      </c>
      <c r="I17" s="7">
        <f>SUM(I2:I16)</f>
        <v/>
      </c>
      <c r="J17" s="7">
        <f>SUM(J2:J16)</f>
        <v/>
      </c>
      <c r="K17" s="7">
        <f>SUM(K2:K16)</f>
        <v/>
      </c>
      <c r="L17" s="7">
        <f>SUM(L2:L16)</f>
        <v/>
      </c>
      <c r="M17" s="7">
        <f>SUM(M2:M16)</f>
        <v/>
      </c>
      <c r="N17" s="7">
        <f>SUM(N2:N16)</f>
        <v/>
      </c>
      <c r="O17" s="7">
        <f>SUM(O2:O16)</f>
        <v/>
      </c>
      <c r="P17" s="7">
        <f>SUM(P2:P16)</f>
        <v/>
      </c>
      <c r="Q17" s="7">
        <f>SUM(Q2:Q16)</f>
        <v/>
      </c>
      <c r="R17" s="7">
        <f>SUM(R2:R16)</f>
        <v/>
      </c>
      <c r="S17" s="8">
        <f>IF(AND(ISNUMBER(R17),ISNUMBER(M17),M17&lt;&gt;0),(R17-M17)/M17,"-")</f>
        <v/>
      </c>
      <c r="T17" s="7">
        <f>SUM(T2:T16)</f>
        <v/>
      </c>
      <c r="U17" s="8">
        <f>IF(AND(ISNUMBER(T17),ISNUMBER(N17),N17&lt;&gt;0),(T17-N17)/N17,"-")</f>
        <v/>
      </c>
      <c r="V17" s="7">
        <f>SUM(V2:V16)</f>
        <v/>
      </c>
      <c r="W17" s="8">
        <f>IF(AND(ISNUMBER(V17),ISNUMBER(O17),O17&lt;&gt;0),(V17-O17)/O17,"-")</f>
        <v/>
      </c>
      <c r="X17" s="7">
        <f>SUM(X2:X16)</f>
        <v/>
      </c>
      <c r="Y17" s="8">
        <f>IF(AND(ISNUMBER(X17),ISNUMBER(P17),P17&lt;&gt;0),(X17-P17)/P17,"-")</f>
        <v/>
      </c>
      <c r="Z17" s="6" t="inlineStr">
        <is>
          <t>-</t>
        </is>
      </c>
      <c r="AA17" s="6" t="inlineStr">
        <is>
          <t>-</t>
        </is>
      </c>
      <c r="AB17" s="9" t="inlineStr">
        <is>
          <t>有数据列直接求和；注意口径混杂（权益/100%合并/湿吨/半年度/财年值），仅作量级参考。俄铝为年度值（计入总计列）；NALCO 为财年值（财年止3月）；South32 财年止6月；印度三家财年止3月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30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8.5" customWidth="1" min="25" max="25"/>
    <col width="55" customWidth="1" min="26" max="26"/>
  </cols>
  <sheetData>
    <row r="1" ht="24" customHeight="1">
      <c r="A1" s="1" t="inlineStr">
        <is>
          <t>公司</t>
        </is>
      </c>
      <c r="B1" s="1" t="inlineStr">
        <is>
          <t>国家</t>
        </is>
      </c>
      <c r="C1" s="1" t="inlineStr">
        <is>
          <t>项目/口径</t>
        </is>
      </c>
      <c r="D1" s="1" t="inlineStr">
        <is>
          <t>23Q1</t>
        </is>
      </c>
      <c r="E1" s="1" t="inlineStr">
        <is>
          <t>23Q2</t>
        </is>
      </c>
      <c r="F1" s="1" t="inlineStr">
        <is>
          <t>23Q3</t>
        </is>
      </c>
      <c r="G1" s="1" t="inlineStr">
        <is>
          <t>23Q4</t>
        </is>
      </c>
      <c r="H1" s="1" t="inlineStr">
        <is>
          <t>23总计</t>
        </is>
      </c>
      <c r="I1" s="1" t="inlineStr">
        <is>
          <t>24Q1</t>
        </is>
      </c>
      <c r="J1" s="1" t="inlineStr">
        <is>
          <t>24Q2</t>
        </is>
      </c>
      <c r="K1" s="1" t="inlineStr">
        <is>
          <t>24Q3</t>
        </is>
      </c>
      <c r="L1" s="1" t="inlineStr">
        <is>
          <t>24Q4</t>
        </is>
      </c>
      <c r="M1" s="1" t="inlineStr">
        <is>
          <t>24总计</t>
        </is>
      </c>
      <c r="N1" s="1" t="inlineStr">
        <is>
          <t>25Q1</t>
        </is>
      </c>
      <c r="O1" s="1" t="inlineStr">
        <is>
          <t>25Q2</t>
        </is>
      </c>
      <c r="P1" s="1" t="inlineStr">
        <is>
          <t>25Q3</t>
        </is>
      </c>
      <c r="Q1" s="1" t="inlineStr">
        <is>
          <t>25Q4</t>
        </is>
      </c>
      <c r="R1" s="1" t="inlineStr">
        <is>
          <t>25总计</t>
        </is>
      </c>
      <c r="S1" s="1" t="inlineStr">
        <is>
          <t>25同比</t>
        </is>
      </c>
      <c r="T1" s="1" t="inlineStr">
        <is>
          <t>26Q1</t>
        </is>
      </c>
      <c r="U1" s="1" t="inlineStr">
        <is>
          <t>26Q1同比</t>
        </is>
      </c>
      <c r="V1" s="1" t="inlineStr">
        <is>
          <t>26Q2</t>
        </is>
      </c>
      <c r="W1" s="1" t="inlineStr">
        <is>
          <t>26Q2同比</t>
        </is>
      </c>
      <c r="X1" s="1" t="inlineStr">
        <is>
          <t>26Q3</t>
        </is>
      </c>
      <c r="Y1" s="1" t="inlineStr">
        <is>
          <t>26Q3同比</t>
        </is>
      </c>
      <c r="Z1" s="1" t="inlineStr">
        <is>
          <t>变化原因</t>
        </is>
      </c>
      <c r="AA1" s="1" t="inlineStr">
        <is>
          <t>FY2026指引</t>
        </is>
      </c>
      <c r="AB1" s="1" t="inlineStr">
        <is>
          <t>备注</t>
        </is>
      </c>
    </row>
    <row r="2">
      <c r="A2" s="2" t="inlineStr">
        <is>
          <t>美铝 Alcoa</t>
        </is>
      </c>
      <c r="B2" s="2" t="inlineStr">
        <is>
          <t>美国</t>
        </is>
      </c>
      <c r="C2" s="3" t="inlineStr">
        <is>
          <t>合并口径（原铝）</t>
        </is>
      </c>
      <c r="D2" s="4" t="n">
        <v>51.8</v>
      </c>
      <c r="E2" s="4" t="n">
        <v>52.3</v>
      </c>
      <c r="F2" s="4" t="n">
        <v>53.2</v>
      </c>
      <c r="G2" s="4" t="n">
        <v>54.1</v>
      </c>
      <c r="H2" s="4" t="n">
        <v>211.4</v>
      </c>
      <c r="I2" s="4" t="n">
        <v>54.2</v>
      </c>
      <c r="J2" s="4" t="n">
        <v>54.3</v>
      </c>
      <c r="K2" s="4" t="n">
        <v>55.9</v>
      </c>
      <c r="L2" s="4" t="n">
        <v>57.1</v>
      </c>
      <c r="M2" s="4" t="n">
        <v>221.5</v>
      </c>
      <c r="N2" s="4" t="n">
        <v>56.4</v>
      </c>
      <c r="O2" s="4" t="n">
        <v>57.2</v>
      </c>
      <c r="P2" s="4" t="n">
        <v>57.9</v>
      </c>
      <c r="Q2" s="4" t="n">
        <v>60.4</v>
      </c>
      <c r="R2" s="4" t="n">
        <v>231.9</v>
      </c>
      <c r="S2" s="5">
        <f>IF(AND(ISNUMBER(R2),ISNUMBER(M2),M2&lt;&gt;0),(R2-M2)/M2,"-")</f>
        <v/>
      </c>
      <c r="T2" s="4" t="n">
        <v>60.7</v>
      </c>
      <c r="U2" s="5">
        <f>IF(AND(ISNUMBER(T2),ISNUMBER(N2),N2&lt;&gt;0),(T2-N2)/N2,"-")</f>
        <v/>
      </c>
      <c r="V2" s="4" t="n">
        <v>63.6</v>
      </c>
      <c r="W2" s="5">
        <f>IF(AND(ISNUMBER(V2),ISNUMBER(O2),O2&lt;&gt;0),(V2-O2)/O2,"-")</f>
        <v/>
      </c>
      <c r="X2" s="4" t="n">
        <v>64.90000000000001</v>
      </c>
      <c r="Y2" s="5">
        <f>IF(AND(ISNUMBER(X2),ISNUMBER(P2),P2&lt;&gt;0),(X2-P2)/P2,"-")</f>
        <v/>
      </c>
      <c r="Z2" s="3" t="inlineStr">
        <is>
          <t>26Q3原铝64.9万吨，环比+2%：前期重启产能贡献+Alumar重启完成；SEC 8-K EX-99.1</t>
        </is>
      </c>
      <c r="AA2" s="3" t="inlineStr">
        <is>
          <t>240–260（维持不变）</t>
        </is>
      </c>
      <c r="AB2" s="3" t="inlineStr">
        <is>
          <t>SEC 8-K 合并报表口径（非权益）</t>
        </is>
      </c>
    </row>
    <row r="3">
      <c r="A3" s="2" t="inlineStr">
        <is>
          <t>力拓 Rio Tinto</t>
        </is>
      </c>
      <c r="B3" s="2" t="inlineStr">
        <is>
          <t>英国/澳大利亚</t>
        </is>
      </c>
      <c r="C3" s="3" t="inlineStr">
        <is>
          <t>权益产量（原铝，不含 Matalco 再生铝）</t>
        </is>
      </c>
      <c r="D3" s="4" t="n">
        <v>78.7</v>
      </c>
      <c r="E3" s="4" t="n">
        <v>81.2</v>
      </c>
      <c r="F3" s="4" t="n">
        <v>82.8</v>
      </c>
      <c r="G3" s="4" t="n">
        <v>84.40000000000001</v>
      </c>
      <c r="H3" s="4" t="n">
        <v>327.1</v>
      </c>
      <c r="I3" s="4" t="n">
        <v>82.59999999999999</v>
      </c>
      <c r="J3" s="4" t="n">
        <v>82.40000000000001</v>
      </c>
      <c r="K3" s="4" t="n">
        <v>80.90000000000001</v>
      </c>
      <c r="L3" s="4" t="n">
        <v>83.7</v>
      </c>
      <c r="M3" s="4" t="n">
        <v>329.6</v>
      </c>
      <c r="N3" s="4" t="n">
        <v>83</v>
      </c>
      <c r="O3" s="4" t="n">
        <v>84</v>
      </c>
      <c r="P3" s="4" t="n">
        <v>86</v>
      </c>
      <c r="Q3" s="4" t="n">
        <v>85</v>
      </c>
      <c r="R3" s="4" t="n">
        <v>338</v>
      </c>
      <c r="S3" s="5">
        <f>IF(AND(ISNUMBER(R3),ISNUMBER(M3),M3&lt;&gt;0),(R3-M3)/M3,"-")</f>
        <v/>
      </c>
      <c r="T3" s="4" t="n">
        <v>83.5</v>
      </c>
      <c r="U3" s="5">
        <f>IF(AND(ISNUMBER(T3),ISNUMBER(N3),N3&lt;&gt;0),(T3-N3)/N3,"-")</f>
        <v/>
      </c>
      <c r="V3" s="4" t="n">
        <v>84</v>
      </c>
      <c r="W3" s="5">
        <f>IF(AND(ISNUMBER(V3),ISNUMBER(O3),O3&lt;&gt;0),(V3-O3)/O3,"-")</f>
        <v/>
      </c>
      <c r="X3" s="4" t="n">
        <v>84.2</v>
      </c>
      <c r="Y3" s="5">
        <f>IF(AND(ISNUMBER(X3),ISNUMBER(P3),P3&lt;&gt;0),(X3-P3)/P3,"-")</f>
        <v/>
      </c>
      <c r="Z3" s="3" t="inlineStr">
        <is>
          <t>26Q3原铝84.2万吨，同比-2%/环比持平；Rio Q3官方XLSX</t>
        </is>
      </c>
      <c r="AA3" s="3" t="inlineStr">
        <is>
          <t>325–345</t>
        </is>
      </c>
      <c r="AB3" s="3" t="inlineStr">
        <is>
          <t>权益口径；2023Q1/Q2/Q4 及 2025 年各季为官方 0.1Mt 精度值或推算值</t>
        </is>
      </c>
    </row>
    <row r="4">
      <c r="A4" s="2" t="inlineStr">
        <is>
          <t>海德鲁 Norsk Hydro</t>
        </is>
      </c>
      <c r="B4" s="2" t="inlineStr">
        <is>
          <t>挪威</t>
        </is>
      </c>
      <c r="C4" s="3" t="inlineStr">
        <is>
          <t>挪威等100% + Qatalum 50%权益计入</t>
        </is>
      </c>
      <c r="D4" s="4" t="n">
        <v>49.9</v>
      </c>
      <c r="E4" s="4" t="n">
        <v>50.6</v>
      </c>
      <c r="F4" s="4" t="n">
        <v>51.2</v>
      </c>
      <c r="G4" s="4" t="n">
        <v>51.4</v>
      </c>
      <c r="H4" s="4" t="n">
        <v>203.1</v>
      </c>
      <c r="I4" s="4" t="n">
        <v>50.5</v>
      </c>
      <c r="J4" s="4" t="n">
        <v>50.7</v>
      </c>
      <c r="K4" s="4" t="n">
        <v>51.1</v>
      </c>
      <c r="L4" s="4" t="n">
        <v>51.5</v>
      </c>
      <c r="M4" s="4" t="n">
        <v>203.8</v>
      </c>
      <c r="N4" s="4" t="n">
        <v>50.3</v>
      </c>
      <c r="O4" s="4" t="n">
        <v>51.2</v>
      </c>
      <c r="P4" s="4" t="n">
        <v>52.2</v>
      </c>
      <c r="Q4" s="4" t="n">
        <v>52.8</v>
      </c>
      <c r="R4" s="4" t="n">
        <v>206.5</v>
      </c>
      <c r="S4" s="5">
        <f>IF(AND(ISNUMBER(R4),ISNUMBER(M4),M4&lt;&gt;0),(R4-M4)/M4,"-")</f>
        <v/>
      </c>
      <c r="T4" s="4" t="n">
        <v>51.7</v>
      </c>
      <c r="U4" s="5">
        <f>IF(AND(ISNUMBER(T4),ISNUMBER(N4),N4&lt;&gt;0),(T4-N4)/N4,"-")</f>
        <v/>
      </c>
      <c r="V4" s="4" t="n">
        <v>49.7</v>
      </c>
      <c r="W4" s="5">
        <f>IF(AND(ISNUMBER(V4),ISNUMBER(O4),O4&lt;&gt;0),(V4-O4)/O4,"-")</f>
        <v/>
      </c>
      <c r="X4" s="4" t="n">
        <v>50.3</v>
      </c>
      <c r="Y4" s="5">
        <f>IF(AND(ISNUMBER(X4),ISNUMBER(P4),P4&lt;&gt;0),(X4-P4)/P4,"-")</f>
        <v/>
      </c>
      <c r="Z4" s="3" t="inlineStr">
        <is>
          <t>26Q3原铝50.3万吨，环比+1%：挪威液态金属产量创纪录，Slovalco 8月底开始重启；Hydro Q3 Report</t>
        </is>
      </c>
      <c r="AA4" s="3" t="inlineStr">
        <is>
          <t>无（Slovalco 75kt 产能 2026H2 重启）</t>
        </is>
      </c>
      <c r="AB4" s="3" t="inlineStr">
        <is>
          <t>挪威本土厂+Albras+Neuss 100% 产量 + Qatalum（持股50%）按比例计入</t>
        </is>
      </c>
    </row>
    <row r="5">
      <c r="A5" s="2" t="inlineStr">
        <is>
          <t>俄铝 RUSAL</t>
        </is>
      </c>
      <c r="B5" s="2" t="inlineStr">
        <is>
          <t>俄罗斯</t>
        </is>
      </c>
      <c r="C5" s="3" t="inlineStr">
        <is>
          <t>集团100%口径（原铝）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4" t="n">
        <v>384.8</v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4" t="n">
        <v>399.2</v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-</t>
        </is>
      </c>
      <c r="R5" s="4" t="n">
        <v>391.8</v>
      </c>
      <c r="S5" s="5">
        <f>IF(AND(ISNUMBER(R5),ISNUMBER(M5),M5&lt;&gt;0),(R5-M5)/M5,"-")</f>
        <v/>
      </c>
      <c r="T5" s="2" t="n">
        <v>100.5</v>
      </c>
      <c r="U5" s="5">
        <f>IF(AND(ISNUMBER(T5),ISNUMBER(N5),N5&lt;&gt;0),(T5-N5)/N5,"-")</f>
        <v/>
      </c>
      <c r="V5" s="2" t="n">
        <v>100.5</v>
      </c>
      <c r="W5" s="5">
        <f>IF(AND(ISNUMBER(V5),ISNUMBER(O5),O5&lt;&gt;0),(V5-O5)/O5,"-")</f>
        <v/>
      </c>
      <c r="X5" s="2" t="inlineStr">
        <is>
          <t>-</t>
        </is>
      </c>
      <c r="Y5" s="5">
        <f>IF(AND(ISNUMBER(X5),ISNUMBER(P5),P5&lt;&gt;0),(X5-P5)/P5,"-")</f>
        <v/>
      </c>
      <c r="Z5" s="3" t="inlineStr">
        <is>
          <t>2026H1（8/19 港交所中报）：原铝产量 2.010 百万吨（+4.5%）——半年口径，季度不拆。源：RUSAL 2026 中期业绩（HKEX 2026-08-19）</t>
        </is>
      </c>
      <c r="AA5" s="3" t="inlineStr">
        <is>
          <t>无</t>
        </is>
      </c>
      <c r="AB5" s="3" t="inlineStr">
        <is>
          <t>2022 年起停发季报，仅半年度/年度（H1：23年191.3推算/24年195.7/25年192.4）；注意 2025 销量大增系去库存，与产量走势背离，勿混用；2026中报(8/19港交所)H1原铝201.0万吨(+4.5%)，Q1未披露，两季平分拟合</t>
        </is>
      </c>
    </row>
    <row r="6">
      <c r="A6" s="2" t="inlineStr">
        <is>
          <t>South32 Hillside</t>
        </is>
      </c>
      <c r="B6" s="2" t="inlineStr">
        <is>
          <t>南非</t>
        </is>
      </c>
      <c r="C6" s="3" t="inlineStr">
        <is>
          <t>100% 权益（财年止6月）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4" t="n">
        <v>18.2</v>
      </c>
      <c r="K6" s="4" t="n">
        <v>17.9</v>
      </c>
      <c r="L6" s="4" t="n">
        <v>17.9</v>
      </c>
      <c r="M6" s="2" t="inlineStr">
        <is>
          <t>-</t>
        </is>
      </c>
      <c r="N6" s="4" t="n">
        <v>17.9</v>
      </c>
      <c r="O6" s="4" t="n">
        <v>18.1</v>
      </c>
      <c r="P6" s="4" t="n">
        <v>18.1</v>
      </c>
      <c r="Q6" s="4" t="n">
        <v>18.1</v>
      </c>
      <c r="R6" s="2" t="inlineStr">
        <is>
          <t>-</t>
        </is>
      </c>
      <c r="S6" s="5">
        <f>IF(AND(ISNUMBER(R6),ISNUMBER(M6),M6&lt;&gt;0),(R6-M6)/M6,"-")</f>
        <v/>
      </c>
      <c r="T6" s="4" t="n">
        <v>17.6</v>
      </c>
      <c r="U6" s="5">
        <f>IF(AND(ISNUMBER(T6),ISNUMBER(N6),N6&lt;&gt;0),(T6-N6)/N6,"-")</f>
        <v/>
      </c>
      <c r="V6" s="4" t="n">
        <v>17.9</v>
      </c>
      <c r="W6" s="5">
        <f>IF(AND(ISNUMBER(V6),ISNUMBER(O6),O6&lt;&gt;0),(V6-O6)/O6,"-")</f>
        <v/>
      </c>
      <c r="X6" s="4" t="n">
        <v>17.7</v>
      </c>
      <c r="Y6" s="5">
        <f>IF(AND(ISNUMBER(X6),ISNUMBER(P6),P6&lt;&gt;0),(X6-P6)/P6,"-")</f>
        <v/>
      </c>
      <c r="Z6" s="3" t="inlineStr">
        <is>
          <t>26Q3 Hillside原铝17.7万吨，环比-1%：限电下继续测试最大技术产能；South32 FY27Q1</t>
        </is>
      </c>
      <c r="AA6" s="3" t="inlineStr">
        <is>
          <t>FY27：72</t>
        </is>
      </c>
      <c r="AB6" s="3" t="inlineStr">
        <is>
          <t>2023Q1-2024Q1 分季度值未找到（季度均值≈180kt）；2024Q2-2025Q1、2025Q3-Q4 为推算值；财年合计 FY24 72.0 / FY25 71.8 / FY26 71.7</t>
        </is>
      </c>
    </row>
    <row r="7">
      <c r="A7" s="2" t="inlineStr">
        <is>
          <t>South32 Mozal</t>
        </is>
      </c>
      <c r="B7" s="2" t="inlineStr">
        <is>
          <t>莫桑比克</t>
        </is>
      </c>
      <c r="C7" s="3" t="inlineStr">
        <is>
          <t>63.7% 权益（财年止6月）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4" t="n">
        <v>9</v>
      </c>
      <c r="P7" s="4" t="n">
        <v>9.199999999999999</v>
      </c>
      <c r="Q7" s="4" t="n">
        <v>9.199999999999999</v>
      </c>
      <c r="R7" s="2" t="inlineStr">
        <is>
          <t>-</t>
        </is>
      </c>
      <c r="S7" s="5">
        <f>IF(AND(ISNUMBER(R7),ISNUMBER(M7),M7&lt;&gt;0),(R7-M7)/M7,"-")</f>
        <v/>
      </c>
      <c r="T7" s="4" t="n">
        <v>6.5</v>
      </c>
      <c r="U7" s="5">
        <f>IF(AND(ISNUMBER(T7),ISNUMBER(N7),N7&lt;&gt;0),(T7-N7)/N7,"-")</f>
        <v/>
      </c>
      <c r="V7" s="4" t="n">
        <v>0</v>
      </c>
      <c r="W7" s="5">
        <f>IF(AND(ISNUMBER(V7),ISNUMBER(O7),O7&lt;&gt;0),(V7-O7)/O7,"-")</f>
        <v/>
      </c>
      <c r="X7" s="4" t="n">
        <v>0</v>
      </c>
      <c r="Y7" s="5">
        <f>IF(AND(ISNUMBER(X7),ISNUMBER(P7),P7&lt;&gt;0),(X7-P7)/P7,"-")</f>
        <v/>
      </c>
      <c r="Z7" s="3" t="inlineStr">
        <is>
          <t>26Q3 Mozal产量0：2026-03起维护保养；South32 FY27Q1</t>
        </is>
      </c>
      <c r="AA7" s="3" t="inlineStr">
        <is>
          <t>停产，无指引</t>
        </is>
      </c>
      <c r="AB7" s="3" t="inlineStr">
        <is>
          <t>2024Q3-2025Q1 未找到（约85-91kt/季）；2025Q3-Q4 为推算值（两季合计183kt）；财年合计 FY24 31.4 / FY25 35.5 / FY26 24.8</t>
        </is>
      </c>
    </row>
    <row r="8">
      <c r="A8" s="2" t="inlineStr">
        <is>
          <t>South32 巴西电解铝</t>
        </is>
      </c>
      <c r="B8" s="2" t="inlineStr">
        <is>
          <t>巴西</t>
        </is>
      </c>
      <c r="C8" s="3" t="inlineStr">
        <is>
          <t>40% 权益（非运营，Alumar）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4" t="n">
        <v>3.8</v>
      </c>
      <c r="P8" s="2" t="inlineStr">
        <is>
          <t>-</t>
        </is>
      </c>
      <c r="Q8" s="2" t="inlineStr">
        <is>
          <t>-</t>
        </is>
      </c>
      <c r="R8" s="2" t="inlineStr">
        <is>
          <t>-</t>
        </is>
      </c>
      <c r="S8" s="5">
        <f>IF(AND(ISNUMBER(R8),ISNUMBER(M8),M8&lt;&gt;0),(R8-M8)/M8,"-")</f>
        <v/>
      </c>
      <c r="T8" s="4" t="n">
        <v>3.3</v>
      </c>
      <c r="U8" s="5">
        <f>IF(AND(ISNUMBER(T8),ISNUMBER(N8),N8&lt;&gt;0),(T8-N8)/N8,"-")</f>
        <v/>
      </c>
      <c r="V8" s="4" t="n">
        <v>3.7</v>
      </c>
      <c r="W8" s="5">
        <f>IF(AND(ISNUMBER(V8),ISNUMBER(O8),O8&lt;&gt;0),(V8-O8)/O8,"-")</f>
        <v/>
      </c>
      <c r="X8" s="4" t="n">
        <v>4</v>
      </c>
      <c r="Y8" s="5">
        <f>IF(AND(ISNUMBER(X8),ISNUMBER(P8),P8&lt;&gt;0),(X8-P8)/P8,"-")</f>
        <v/>
      </c>
      <c r="Z8" s="3" t="inlineStr">
        <is>
          <t>26Q3巴西电解铝4.0万吨（40%权益），环比+8%：季末全部电解槽运行；South32 FY27Q1</t>
        </is>
      </c>
      <c r="AA8" s="3" t="inlineStr">
        <is>
          <t>FY27：14</t>
        </is>
      </c>
      <c r="AB8" s="3" t="inlineStr">
        <is>
          <t>40%非运营权益；多数季度未找到；财年合计 FY24 10.4 / FY25 13.8 / FY26 14.4</t>
        </is>
      </c>
    </row>
    <row r="9">
      <c r="A9" s="2" t="inlineStr">
        <is>
          <t>Vedanta</t>
        </is>
      </c>
      <c r="B9" s="2" t="inlineStr">
        <is>
          <t>印度</t>
        </is>
      </c>
      <c r="C9" s="3" t="inlineStr">
        <is>
          <t>Jharsuguda+BALCO（财年止3月）</t>
        </is>
      </c>
      <c r="D9" s="4" t="n">
        <v>57.4</v>
      </c>
      <c r="E9" s="4" t="n">
        <v>57.9</v>
      </c>
      <c r="F9" s="4" t="n">
        <v>59.4</v>
      </c>
      <c r="G9" s="4" t="n">
        <v>59.9</v>
      </c>
      <c r="H9" s="4" t="n">
        <v>234.6</v>
      </c>
      <c r="I9" s="4" t="n">
        <v>59.8</v>
      </c>
      <c r="J9" s="4" t="n">
        <v>59.6</v>
      </c>
      <c r="K9" s="4" t="n">
        <v>60.9</v>
      </c>
      <c r="L9" s="4" t="n">
        <v>61.4</v>
      </c>
      <c r="M9" s="4" t="n">
        <v>241.7</v>
      </c>
      <c r="N9" s="4" t="n">
        <v>60.3</v>
      </c>
      <c r="O9" s="4" t="n">
        <v>60.5</v>
      </c>
      <c r="P9" s="4" t="n">
        <v>61.7</v>
      </c>
      <c r="Q9" s="4" t="n">
        <v>62</v>
      </c>
      <c r="R9" s="4" t="n">
        <v>244.5</v>
      </c>
      <c r="S9" s="5">
        <f>IF(AND(ISNUMBER(R9),ISNUMBER(M9),M9&lt;&gt;0),(R9-M9)/M9,"-")</f>
        <v/>
      </c>
      <c r="T9" s="4" t="n">
        <v>61.3</v>
      </c>
      <c r="U9" s="5">
        <f>IF(AND(ISNUMBER(T9),ISNUMBER(N9),N9&lt;&gt;0),(T9-N9)/N9,"-")</f>
        <v/>
      </c>
      <c r="V9" s="4" t="n">
        <v>63.2</v>
      </c>
      <c r="W9" s="5">
        <f>IF(AND(ISNUMBER(V9),ISNUMBER(O9),O9&lt;&gt;0),(V9-O9)/O9,"-")</f>
        <v/>
      </c>
      <c r="X9" s="4" t="n">
        <v>64.90000000000001</v>
      </c>
      <c r="Y9" s="5">
        <f>IF(AND(ISNUMBER(X9),ISNUMBER(P9),P9&lt;&gt;0),(X9-P9)/P9,"-")</f>
        <v/>
      </c>
      <c r="Z9" s="3" t="inlineStr">
        <is>
          <t>基本满产稳定；2026Q2 创历史最高季度（BALCO 新建 525kA 电解槽系列投产贡献）</t>
        </is>
      </c>
      <c r="AA9" s="3" t="inlineStr">
        <is>
          <t>FY27：260–270</t>
        </is>
      </c>
      <c r="AB9" s="3" t="inlineStr">
        <is>
          <t>财年止3月（Q1FY=自然季Q2）；个别季度后续公告有≤1kt 重列；2026-05 拆分后归属 VAML</t>
        </is>
      </c>
    </row>
    <row r="10">
      <c r="A10" s="2" t="inlineStr">
        <is>
          <t>Hindalco</t>
        </is>
      </c>
      <c r="B10" s="2" t="inlineStr">
        <is>
          <t>印度</t>
        </is>
      </c>
      <c r="C10" s="3" t="inlineStr">
        <is>
          <t>Upstream 电解铝（不含 Novelis，财年止3月）</t>
        </is>
      </c>
      <c r="D10" s="4" t="n">
        <v>32.8</v>
      </c>
      <c r="E10" s="4" t="n">
        <v>33.1</v>
      </c>
      <c r="F10" s="4" t="n">
        <v>33.4</v>
      </c>
      <c r="G10" s="4" t="n">
        <v>33.4</v>
      </c>
      <c r="H10" s="4" t="n">
        <v>132.7</v>
      </c>
      <c r="I10" s="4" t="n">
        <v>33.2</v>
      </c>
      <c r="J10" s="4" t="n">
        <v>33</v>
      </c>
      <c r="K10" s="4" t="n">
        <v>32.9</v>
      </c>
      <c r="L10" s="4" t="n">
        <v>33.4</v>
      </c>
      <c r="M10" s="4" t="n">
        <v>132.5</v>
      </c>
      <c r="N10" s="4" t="n">
        <v>33</v>
      </c>
      <c r="O10" s="4" t="n">
        <v>32.5</v>
      </c>
      <c r="P10" s="4" t="n">
        <v>33.6</v>
      </c>
      <c r="Q10" s="4" t="n">
        <v>33.7</v>
      </c>
      <c r="R10" s="4" t="n">
        <v>133.5</v>
      </c>
      <c r="S10" s="5">
        <f>IF(AND(ISNUMBER(R10),ISNUMBER(M10),M10&lt;&gt;0),(R10-M10)/M10,"-")</f>
        <v/>
      </c>
      <c r="T10" s="4" t="n">
        <v>33.1</v>
      </c>
      <c r="U10" s="5">
        <f>IF(AND(ISNUMBER(T10),ISNUMBER(N10),N10&lt;&gt;0),(T10-N10)/N10,"-")</f>
        <v/>
      </c>
      <c r="V10" s="2" t="n">
        <v>33.5</v>
      </c>
      <c r="W10" s="5">
        <f>IF(AND(ISNUMBER(V10),ISNUMBER(O10),O10&lt;&gt;0),(V10-O10)/O10,"-")</f>
        <v/>
      </c>
      <c r="X10" s="2" t="inlineStr">
        <is>
          <t>待发布(预计2026-11上旬)</t>
        </is>
      </c>
      <c r="Y10" s="5">
        <f>IF(AND(ISNUMBER(X10),ISNUMBER(P10),P10&lt;&gt;0),(X10-P10)/P10,"-")</f>
        <v/>
      </c>
      <c r="Z10" s="3" t="inlineStr">
        <is>
          <t>Q1FY27（=26Q2）铝上游出货量 335kt=33.5 万吨（同比+3%，出货量口径）；上游 EBITDA 创纪录 ₹7,390  crore（+81%）；Aditya 二期 FY28 投产。源：Hindalco Q1FY27 业绩新闻稿（2026-08-07）</t>
        </is>
      </c>
      <c r="AA10" s="3" t="inlineStr">
        <is>
          <t>无量化指引（Aditya 电解铝扩产在建）</t>
        </is>
      </c>
      <c r="AB10" s="3" t="inlineStr">
        <is>
          <t>财年止3月；2026Q2 未披露（预计 8 月中）</t>
        </is>
      </c>
    </row>
    <row r="11">
      <c r="A11" s="2" t="inlineStr">
        <is>
          <t>NALCO</t>
        </is>
      </c>
      <c r="B11" s="2" t="inlineStr">
        <is>
          <t>印度</t>
        </is>
      </c>
      <c r="C11" s="3" t="inlineStr">
        <is>
          <t>电解铝 cast metal（财年止3月）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4" t="n">
        <v>46.3</v>
      </c>
      <c r="N11" s="2" t="inlineStr">
        <is>
          <t>-</t>
        </is>
      </c>
      <c r="O11" s="2" t="inlineStr">
        <is>
          <t>-</t>
        </is>
      </c>
      <c r="P11" s="2" t="inlineStr">
        <is>
          <t>-</t>
        </is>
      </c>
      <c r="Q11" s="2" t="inlineStr">
        <is>
          <t>-</t>
        </is>
      </c>
      <c r="R11" s="4" t="n">
        <v>46</v>
      </c>
      <c r="S11" s="5">
        <f>IF(AND(ISNUMBER(R11),ISNUMBER(M11),M11&lt;&gt;0),(R11-M11)/M11,"-")</f>
        <v/>
      </c>
      <c r="T11" s="2" t="inlineStr">
        <is>
          <t>-</t>
        </is>
      </c>
      <c r="U11" s="5">
        <f>IF(AND(ISNUMBER(T11),ISNUMBER(N11),N11&lt;&gt;0),(T11-N11)/N11,"-")</f>
        <v/>
      </c>
      <c r="V11" s="2" t="n">
        <v>11.6</v>
      </c>
      <c r="W11" s="5">
        <f>IF(AND(ISNUMBER(V11),ISNUMBER(O11),O11&lt;&gt;0),(V11-O11)/O11,"-")</f>
        <v/>
      </c>
      <c r="X11" s="2" t="inlineStr">
        <is>
          <t>待发布(预计2026-11上旬)</t>
        </is>
      </c>
      <c r="Y11" s="5">
        <f>IF(AND(ISNUMBER(X11),ISNUMBER(P11),P11&lt;&gt;0),(X11-P11)/P11,"-")</f>
        <v/>
      </c>
      <c r="Z11" s="3" t="inlineStr">
        <is>
          <t>Q1FY27(=26Q2)：电解铝11.6万吨（上年同季11.5）；官方演示稿</t>
        </is>
      </c>
      <c r="AA11" s="3" t="inlineStr">
        <is>
          <t>无（电解铝厂与自备电厂棕地扩建推进中）</t>
        </is>
      </c>
      <c r="AB11" s="3" t="inlineStr">
        <is>
          <t>财年止3月：FY24=46.3 列于24总计；FY25≈46.0 为按 FY26 同比反推的推算值；季度绝对量不披露；FY26 值见变化原因</t>
        </is>
      </c>
    </row>
    <row r="12">
      <c r="A12" s="2" t="inlineStr">
        <is>
          <t>中国铝业</t>
        </is>
      </c>
      <c r="B12" s="2" t="inlineStr">
        <is>
          <t>中国</t>
        </is>
      </c>
      <c r="C12" s="3" t="inlineStr">
        <is>
          <t>原铝（含合金，100%合并口径）</t>
        </is>
      </c>
      <c r="D12" s="4" t="n">
        <v>153</v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4" t="n">
        <v>679</v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4" t="n">
        <v>761</v>
      </c>
      <c r="N12" s="4" t="n">
        <v>194</v>
      </c>
      <c r="O12" s="2" t="inlineStr">
        <is>
          <t>-</t>
        </is>
      </c>
      <c r="P12" s="2" t="inlineStr">
        <is>
          <t>-</t>
        </is>
      </c>
      <c r="Q12" s="2" t="inlineStr">
        <is>
          <t>-</t>
        </is>
      </c>
      <c r="R12" s="4" t="n">
        <v>808</v>
      </c>
      <c r="S12" s="5">
        <f>IF(AND(ISNUMBER(R12),ISNUMBER(M12),M12&lt;&gt;0),(R12-M12)/M12,"-")</f>
        <v/>
      </c>
      <c r="T12" s="4" t="n">
        <v>201</v>
      </c>
      <c r="U12" s="5">
        <f>IF(AND(ISNUMBER(T12),ISNUMBER(N12),N12&lt;&gt;0),(T12-N12)/N12,"-")</f>
        <v/>
      </c>
      <c r="V12" s="2" t="n">
        <v>201</v>
      </c>
      <c r="W12" s="5">
        <f>IF(AND(ISNUMBER(V12),ISNUMBER(O12),O12&lt;&gt;0),(V12-O12)/O12,"-")</f>
        <v/>
      </c>
      <c r="X12" s="2" t="inlineStr">
        <is>
          <t>待发布(预计2026-10-27至28)</t>
        </is>
      </c>
      <c r="Y12" s="5">
        <f>IF(AND(ISNUMBER(X12),ISNUMBER(P12),P12&lt;&gt;0),(X12-P12)/P12,"-")</f>
        <v/>
      </c>
      <c r="Z12" s="3" t="inlineStr">
        <is>
          <t>2026中报(8/27)：H1原铝(含合金)402万吨(+1.26%)−26Q1 201=201（推算）</t>
        </is>
      </c>
      <c r="AA12" s="3" t="inlineStr">
        <is>
          <t>未找到（2025 目标 780，实际 808）</t>
        </is>
      </c>
      <c r="AB12" s="3" t="inlineStr">
        <is>
          <t>季报仅 Q1 当季/Q3 累计披露产量（25H1 397、2025 前三季 600）｜2025年报：原铝板块毛利率18.88%(+8.57pct，铝价涨+氧化铝/煤成本降)；808万吨为含合金口径</t>
        </is>
      </c>
    </row>
    <row r="13">
      <c r="A13" s="2" t="inlineStr">
        <is>
          <t>中国宏桥/宏桥控股</t>
        </is>
      </c>
      <c r="B13" s="2" t="inlineStr">
        <is>
          <t>中国</t>
        </is>
      </c>
      <c r="C13" s="3" t="inlineStr">
        <is>
          <t>铝合金产品产量（≈电解铝，集团合并口径）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4" t="n">
        <v>626.5</v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4" t="n">
        <v>653.5</v>
      </c>
      <c r="N13" s="2" t="inlineStr">
        <is>
          <t>-</t>
        </is>
      </c>
      <c r="O13" s="2" t="inlineStr">
        <is>
          <t>-</t>
        </is>
      </c>
      <c r="P13" s="2" t="inlineStr">
        <is>
          <t>-</t>
        </is>
      </c>
      <c r="Q13" s="2" t="inlineStr">
        <is>
          <t>-</t>
        </is>
      </c>
      <c r="R13" s="4" t="n">
        <v>654.5</v>
      </c>
      <c r="S13" s="5">
        <f>IF(AND(ISNUMBER(R13),ISNUMBER(M13),M13&lt;&gt;0),(R13-M13)/M13,"-")</f>
        <v/>
      </c>
      <c r="T13" s="2" t="inlineStr">
        <is>
          <t>-</t>
        </is>
      </c>
      <c r="U13" s="5">
        <f>IF(AND(ISNUMBER(T13),ISNUMBER(N13),N13&lt;&gt;0),(T13-N13)/N13,"-")</f>
        <v/>
      </c>
      <c r="V13" s="2" t="inlineStr">
        <is>
          <t>-</t>
        </is>
      </c>
      <c r="W13" s="5">
        <f>IF(AND(ISNUMBER(V13),ISNUMBER(O13),O13&lt;&gt;0),(V13-O13)/O13,"-")</f>
        <v/>
      </c>
      <c r="X13" s="2" t="inlineStr">
        <is>
          <t>-</t>
        </is>
      </c>
      <c r="Y13" s="5">
        <f>IF(AND(ISNUMBER(X13),ISNUMBER(P13),P13&lt;&gt;0),(X13-P13)/P13,"-")</f>
        <v/>
      </c>
      <c r="Z13" s="3" t="inlineStr">
        <is>
          <t>2026中报(8/21港交所)仅销量口径：铝合金产品销量281.1万吨(H1,-3.3%)、深加工44.4万吨(+23.2%)；产量年报才披露</t>
        </is>
      </c>
      <c r="AA13" s="3" t="inlineStr">
        <is>
          <t>无量化指引</t>
        </is>
      </c>
      <c r="AB13" s="3" t="inlineStr">
        <is>
          <t>2024 为推算值（2025 年报同口径可比数 653.52）；港股无季报（H1：23年305.9/24年322.1）；宏桥控股(002379.SZ)同一资产不重复计列</t>
        </is>
      </c>
    </row>
    <row r="14">
      <c r="A14" s="2" t="inlineStr">
        <is>
          <t>神火股份</t>
        </is>
      </c>
      <c r="B14" s="2" t="inlineStr">
        <is>
          <t>中国</t>
        </is>
      </c>
      <c r="C14" s="3" t="inlineStr">
        <is>
          <t>铝产品→有色金属冶炼和压延加工（口径有变）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4" t="n">
        <v>151.8</v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4" t="n">
        <v>162.85</v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s="2" t="inlineStr">
        <is>
          <t>-</t>
        </is>
      </c>
      <c r="R14" s="4" t="n">
        <v>206.07</v>
      </c>
      <c r="S14" s="5">
        <f>IF(AND(ISNUMBER(R14),ISNUMBER(M14),M14&lt;&gt;0),(R14-M14)/M14,"-")</f>
        <v/>
      </c>
      <c r="T14" s="2" t="inlineStr">
        <is>
          <t>-</t>
        </is>
      </c>
      <c r="U14" s="5">
        <f>IF(AND(ISNUMBER(T14),ISNUMBER(N14),N14&lt;&gt;0),(T14-N14)/N14,"-")</f>
        <v/>
      </c>
      <c r="V14" s="2" t="inlineStr">
        <is>
          <t>-</t>
        </is>
      </c>
      <c r="W14" s="5">
        <f>IF(AND(ISNUMBER(V14),ISNUMBER(O14),O14&lt;&gt;0),(V14-O14)/O14,"-")</f>
        <v/>
      </c>
      <c r="X14" s="2" t="inlineStr">
        <is>
          <t>-</t>
        </is>
      </c>
      <c r="Y14" s="5">
        <f>IF(AND(ISNUMBER(X14),ISNUMBER(P14),P14&lt;&gt;0),(X14-P14)/P14,"-")</f>
        <v/>
      </c>
      <c r="Z14" s="3" t="inlineStr">
        <is>
          <t>2026中报(7/27)仅定性'满产满销,时间过半任务过半'（产能170万吨/年），无吨数；另披露铝箔6.38万吨(+20%)</t>
        </is>
      </c>
      <c r="AA14" s="3" t="inlineStr">
        <is>
          <t>2026：铝产品 170（内部管理控制指标，非承诺）</t>
        </is>
      </c>
      <c r="AB14" s="3" t="inlineStr">
        <is>
          <t>口径警示：2025 年报改为'有色金属冶炼和压延加工'（含加工产品，重述2024=189.15），与此前'铝产品'口径不可直接比较；产量仅年报披露；无自产氧化铝（外购）｜2025年报：电解铝毛利率30.06%(+4.95pct)、吨毛利约5100元；煤炭资产减值12.56亿(Q4集中计提)；2026计划铝产品170万吨</t>
        </is>
      </c>
    </row>
    <row r="15">
      <c r="A15" s="2" t="inlineStr">
        <is>
          <t>云铝股份</t>
        </is>
      </c>
      <c r="B15" s="2" t="inlineStr">
        <is>
          <t>中国</t>
        </is>
      </c>
      <c r="C15" s="3" t="inlineStr">
        <is>
          <t>原铝→铝商品（口径有变）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4" t="n">
        <v>239.95</v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4" t="n">
        <v>293.83</v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s="2" t="inlineStr">
        <is>
          <t>-</t>
        </is>
      </c>
      <c r="R15" s="4" t="n">
        <v>322.59</v>
      </c>
      <c r="S15" s="5">
        <f>IF(AND(ISNUMBER(R15),ISNUMBER(M15),M15&lt;&gt;0),(R15-M15)/M15,"-")</f>
        <v/>
      </c>
      <c r="T15" s="2" t="n">
        <v>81</v>
      </c>
      <c r="U15" s="5">
        <f>IF(AND(ISNUMBER(T15),ISNUMBER(N15),N15&lt;&gt;0),(T15-N15)/N15,"-")</f>
        <v/>
      </c>
      <c r="V15" s="2" t="n">
        <v>81</v>
      </c>
      <c r="W15" s="5">
        <f>IF(AND(ISNUMBER(V15),ISNUMBER(O15),O15&lt;&gt;0),(V15-O15)/O15,"-")</f>
        <v/>
      </c>
      <c r="X15" s="2" t="inlineStr">
        <is>
          <t>-</t>
        </is>
      </c>
      <c r="Y15" s="5">
        <f>IF(AND(ISNUMBER(X15),ISNUMBER(P15),P15&lt;&gt;0),(X15-P15)/P15,"-")</f>
        <v/>
      </c>
      <c r="Z15" s="3" t="inlineStr">
        <is>
          <t>2026中报(8/27)：H1铝产品(铝商品口径,含合金及加工)162万吨(约+1%)；全年目标319万吨完成50.8%</t>
        </is>
      </c>
      <c r="AA15" s="3" t="inlineStr">
        <is>
          <t>2026：铝商品约319</t>
        </is>
      </c>
      <c r="AB15" s="3" t="inlineStr">
        <is>
          <t>口径警示：2025 年报改'铝商品'口径（含合金及加工），不再单列原铝；H1：23年97.40/24年135.07/25年161.32（铝产品）｜2025年报：电解铝毛利率18.16%(+4.92pct)；对中铝集团关联销售占32%；2026中报H1铝商品累计162万吨，Q1未披露，两季平分拟合</t>
        </is>
      </c>
    </row>
    <row r="16">
      <c r="A16" s="2" t="inlineStr">
        <is>
          <t>天山铝业</t>
        </is>
      </c>
      <c r="B16" s="2" t="inlineStr">
        <is>
          <t>中国</t>
        </is>
      </c>
      <c r="C16" s="3" t="inlineStr">
        <is>
          <t>电解铝（合并口径）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4" t="n">
        <v>116.55</v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4" t="n">
        <v>117.59</v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  <c r="Q16" s="2" t="inlineStr">
        <is>
          <t>-</t>
        </is>
      </c>
      <c r="R16" s="4" t="n">
        <v>118.58</v>
      </c>
      <c r="S16" s="5">
        <f>IF(AND(ISNUMBER(R16),ISNUMBER(M16),M16&lt;&gt;0),(R16-M16)/M16,"-")</f>
        <v/>
      </c>
      <c r="T16" s="2" t="n">
        <v>33.025</v>
      </c>
      <c r="U16" s="5">
        <f>IF(AND(ISNUMBER(T16),ISNUMBER(N16),N16&lt;&gt;0),(T16-N16)/N16,"-")</f>
        <v/>
      </c>
      <c r="V16" s="2" t="n">
        <v>33.025</v>
      </c>
      <c r="W16" s="5">
        <f>IF(AND(ISNUMBER(V16),ISNUMBER(O16),O16&lt;&gt;0),(V16-O16)/O16,"-")</f>
        <v/>
      </c>
      <c r="X16" s="2" t="inlineStr">
        <is>
          <t>-</t>
        </is>
      </c>
      <c r="Y16" s="5">
        <f>IF(AND(ISNUMBER(X16),ISNUMBER(P16),P16&lt;&gt;0),(X16-P16)/P16,"-")</f>
        <v/>
      </c>
      <c r="Z16" s="3" t="inlineStr">
        <is>
          <t>2026中报(8/18)：H1电解铝66.05万吨(+12.8%,140万吨技改项目爬产,下半年还有增量)</t>
        </is>
      </c>
      <c r="AA16" s="3" t="inlineStr">
        <is>
          <t>2026：135</t>
        </is>
      </c>
      <c r="AB16" s="3" t="inlineStr">
        <is>
          <t>H1：23年57.80/24年58.54/25年58.54；季报不披露产量；2026中报H1累计66.05万吨，Q1未披露，两季平分拟合</t>
        </is>
      </c>
    </row>
    <row r="17">
      <c r="A17" s="2" t="inlineStr">
        <is>
          <t>创新实业</t>
        </is>
      </c>
      <c r="B17" s="2" t="inlineStr">
        <is>
          <t>中国</t>
        </is>
      </c>
      <c r="C17" s="3" t="inlineStr">
        <is>
          <t>电解铝（招股书口径，100%）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-</t>
        </is>
      </c>
      <c r="H17" s="4" t="n">
        <v>75.79000000000001</v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4" t="n">
        <v>75.54000000000001</v>
      </c>
      <c r="N17" s="2" t="inlineStr">
        <is>
          <t>-</t>
        </is>
      </c>
      <c r="O17" s="2" t="inlineStr">
        <is>
          <t>-</t>
        </is>
      </c>
      <c r="P17" s="2" t="inlineStr">
        <is>
          <t>-</t>
        </is>
      </c>
      <c r="Q17" s="2" t="inlineStr">
        <is>
          <t>-</t>
        </is>
      </c>
      <c r="R17" s="2" t="inlineStr">
        <is>
          <t>-</t>
        </is>
      </c>
      <c r="S17" s="5">
        <f>IF(AND(ISNUMBER(R17),ISNUMBER(M17),M17&lt;&gt;0),(R17-M17)/M17,"-")</f>
        <v/>
      </c>
      <c r="T17" s="2" t="inlineStr">
        <is>
          <t>-</t>
        </is>
      </c>
      <c r="U17" s="5">
        <f>IF(AND(ISNUMBER(T17),ISNUMBER(N17),N17&lt;&gt;0),(T17-N17)/N17,"-")</f>
        <v/>
      </c>
      <c r="V17" s="2" t="inlineStr">
        <is>
          <t>-</t>
        </is>
      </c>
      <c r="W17" s="5">
        <f>IF(AND(ISNUMBER(V17),ISNUMBER(O17),O17&lt;&gt;0),(V17-O17)/O17,"-")</f>
        <v/>
      </c>
      <c r="X17" s="2" t="n"/>
      <c r="Y17" s="5">
        <f>IF(AND(ISNUMBER(X17),ISNUMBER(P17),P17&lt;&gt;0),(X17-P17)/P17,"-")</f>
        <v/>
      </c>
      <c r="Z17" s="3" t="inlineStr">
        <is>
          <t>产能利用率 94-96%，稳定在 75 万吨级</t>
        </is>
      </c>
      <c r="AA17" s="3" t="inlineStr">
        <is>
          <t>铝锭产量预计同比 +5%~10%（液铝转铝锭结构调整）</t>
        </is>
      </c>
      <c r="AB17" s="3" t="inlineStr">
        <is>
          <t>招股书披露（千吨÷10）；2025 年报未披露绝对产量；2025-11-24 港股上市，无季报</t>
        </is>
      </c>
    </row>
    <row r="18">
      <c r="A18" s="2" t="inlineStr">
        <is>
          <t>华通线缆</t>
        </is>
      </c>
      <c r="B18" s="2" t="inlineStr">
        <is>
          <t>中国</t>
        </is>
      </c>
      <c r="C18" s="3" t="inlineStr">
        <is>
          <t>安哥拉电解铝项目（100%）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4" t="n">
        <v>0</v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4" t="n">
        <v>0</v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s="2" t="inlineStr">
        <is>
          <t>-</t>
        </is>
      </c>
      <c r="R18" s="4" t="n">
        <v>0</v>
      </c>
      <c r="S18" s="5">
        <f>IF(AND(ISNUMBER(R18),ISNUMBER(M18),M18&lt;&gt;0),(R18-M18)/M18,"-")</f>
        <v/>
      </c>
      <c r="T18" s="2" t="inlineStr">
        <is>
          <t>-</t>
        </is>
      </c>
      <c r="U18" s="5">
        <f>IF(AND(ISNUMBER(T18),ISNUMBER(N18),N18&lt;&gt;0),(T18-N18)/N18,"-")</f>
        <v/>
      </c>
      <c r="V18" s="2" t="inlineStr">
        <is>
          <t>-</t>
        </is>
      </c>
      <c r="W18" s="5">
        <f>IF(AND(ISNUMBER(V18),ISNUMBER(O18),O18&lt;&gt;0),(V18-O18)/O18,"-")</f>
        <v/>
      </c>
      <c r="X18" s="2" t="inlineStr">
        <is>
          <t>-</t>
        </is>
      </c>
      <c r="Y18" s="5">
        <f>IF(AND(ISNUMBER(X18),ISNUMBER(P18),P18&lt;&gt;0),(X18-P18)/P18,"-")</f>
        <v/>
      </c>
      <c r="Z18" s="3" t="inlineStr">
        <is>
          <t>安哥拉年产 12 万吨电解铝项目 2026 年 1 月正式投产试运行</t>
        </is>
      </c>
      <c r="AA18" s="3" t="inlineStr">
        <is>
          <t>无明确目标（'快速提升产能利用率与产量规模'）</t>
        </is>
      </c>
      <c r="AB18" s="3" t="inlineStr">
        <is>
          <t>2023-2025 为建设期（产量 0）；2026Q1 未披露铝产量</t>
        </is>
      </c>
    </row>
    <row r="19">
      <c r="A19" s="2" t="inlineStr">
        <is>
          <t>Press Metal</t>
        </is>
      </c>
      <c r="B19" s="2" t="inlineStr">
        <is>
          <t>马来西亚</t>
        </is>
      </c>
      <c r="C19" s="3" t="inlineStr">
        <is>
          <t>Mukah+Samalaju（产能1.08Mtpa）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  <c r="P19" s="2" t="inlineStr">
        <is>
          <t>-</t>
        </is>
      </c>
      <c r="Q19" s="2" t="inlineStr">
        <is>
          <t>-</t>
        </is>
      </c>
      <c r="R19" s="2" t="inlineStr">
        <is>
          <t>-</t>
        </is>
      </c>
      <c r="S19" s="5">
        <f>IF(AND(ISNUMBER(R19),ISNUMBER(M19),M19&lt;&gt;0),(R19-M19)/M19,"-")</f>
        <v/>
      </c>
      <c r="T19" s="2" t="inlineStr">
        <is>
          <t>-</t>
        </is>
      </c>
      <c r="U19" s="5">
        <f>IF(AND(ISNUMBER(T19),ISNUMBER(N19),N19&lt;&gt;0),(T19-N19)/N19,"-")</f>
        <v/>
      </c>
      <c r="V19" s="2" t="inlineStr">
        <is>
          <t>-</t>
        </is>
      </c>
      <c r="W19" s="5">
        <f>IF(AND(ISNUMBER(V19),ISNUMBER(O19),O19&lt;&gt;0),(V19-O19)/O19,"-")</f>
        <v/>
      </c>
      <c r="X19" s="2" t="inlineStr">
        <is>
          <t>-</t>
        </is>
      </c>
      <c r="Y19" s="5">
        <f>IF(AND(ISNUMBER(X19),ISNUMBER(P19),P19&lt;&gt;0),(X19-P19)/P19,"-")</f>
        <v/>
      </c>
      <c r="Z19" s="3" t="inlineStr">
        <is>
          <t>季报不披露产量吨数（2026Q1/Q2季报均已核验,仅财务口径；26Q2核心净利+42%）；产能锚点1.08Mtpa</t>
        </is>
      </c>
      <c r="AA19" s="3" t="inlineStr">
        <is>
          <t>待补</t>
        </is>
      </c>
      <c r="AB19" s="3" t="inlineStr">
        <is>
          <t>公司季报无产量披露；产能锚点：Mukah 12万吨+Samalaju三期96万吨=108万吨/年（2021年满产）；如需可按满产~27万吨/季自行估算（推算值非披露）；2026Q2 季报已披露（Bursa 公告 8/27，报道 8/28），未披露产量吨数（仅财务口径，已二次核验）</t>
        </is>
      </c>
    </row>
    <row r="20">
      <c r="A20" s="2" t="inlineStr">
        <is>
          <t>Century Aluminum</t>
        </is>
      </c>
      <c r="B20" s="2" t="inlineStr">
        <is>
          <t>美国</t>
        </is>
      </c>
      <c r="C20" s="3" t="inlineStr">
        <is>
          <t>美国+冰岛（出货量）</t>
        </is>
      </c>
      <c r="D20" s="2" t="n">
        <v>18.12</v>
      </c>
      <c r="E20" s="2" t="n">
        <v>17.36</v>
      </c>
      <c r="F20" s="2" t="n">
        <v>17.2</v>
      </c>
      <c r="G20" s="2" t="n">
        <v>17.39</v>
      </c>
      <c r="H20" s="2" t="inlineStr">
        <is>
          <t>-</t>
        </is>
      </c>
      <c r="I20" s="2" t="n">
        <v>17.46</v>
      </c>
      <c r="J20" s="2" t="n">
        <v>16.79</v>
      </c>
      <c r="K20" s="2" t="n">
        <v>16.88</v>
      </c>
      <c r="L20" s="2" t="n">
        <v>16.67</v>
      </c>
      <c r="M20" s="2" t="inlineStr">
        <is>
          <t>-</t>
        </is>
      </c>
      <c r="N20" s="2" t="n">
        <v>16.87</v>
      </c>
      <c r="O20" s="2" t="n">
        <v>17.57</v>
      </c>
      <c r="P20" s="2" t="n">
        <v>16.24</v>
      </c>
      <c r="Q20" s="2" t="n">
        <v>14.03</v>
      </c>
      <c r="R20" s="2" t="inlineStr">
        <is>
          <t>-</t>
        </is>
      </c>
      <c r="S20" s="5">
        <f>IF(AND(ISNUMBER(R20),ISNUMBER(M20),M20&lt;&gt;0),(R20-M20)/M20,"-")</f>
        <v/>
      </c>
      <c r="T20" s="2" t="n">
        <v>12.29</v>
      </c>
      <c r="U20" s="5">
        <f>IF(AND(ISNUMBER(T20),ISNUMBER(N20),N20&lt;&gt;0),(T20-N20)/N20,"-")</f>
        <v/>
      </c>
      <c r="V20" s="2" t="n">
        <v>13.06</v>
      </c>
      <c r="W20" s="5">
        <f>IF(AND(ISNUMBER(V20),ISNUMBER(O20),O20&lt;&gt;0),(V20-O20)/O20,"-")</f>
        <v/>
      </c>
      <c r="X20" s="2" t="inlineStr">
        <is>
          <t>待发布(2026-11-05)</t>
        </is>
      </c>
      <c r="Y20" s="5">
        <f>IF(AND(ISNUMBER(X20),ISNUMBER(P20),P20&lt;&gt;0),(X20-P20)/P20,"-")</f>
        <v/>
      </c>
      <c r="Z20" s="3" t="inlineStr">
        <is>
          <t>26Q2 出货量 130,632 吨=13.06 万吨（环比+6%：Mt. Holly 最后 90 槽重启完成+Grundartangi 2 号线恢复近满产）。源：Century Q2 2026 业绩（8-K ex99.1）</t>
        </is>
      </c>
      <c r="AA20" s="3" t="inlineStr">
        <is>
          <t>无吨数指引（26Q2 Adj.EBITDA指引3.15-3.35亿美元）</t>
        </is>
      </c>
      <c r="AB20" s="3" t="inlineStr">
        <is>
          <t>出货量(shipments)口径非产量·100%口径（美国Sebree/Mt.Holly+冰岛Grundartangi）；26Q2财报预计2026年8月上旬（近三年均8/7-8/9发布）</t>
        </is>
      </c>
    </row>
    <row r="21">
      <c r="A21" s="2" t="inlineStr">
        <is>
          <t>Aluminium Bahrain (Alba)</t>
        </is>
      </c>
      <c r="B21" s="2" t="inlineStr">
        <is>
          <t>巴林</t>
        </is>
      </c>
      <c r="C21" s="3" t="inlineStr">
        <is>
          <t>原铝（Line 1-6，合并口径）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  <c r="O21" s="2" t="n">
        <v>40.29</v>
      </c>
      <c r="P21" s="2" t="inlineStr">
        <is>
          <t>-</t>
        </is>
      </c>
      <c r="Q21" s="2" t="inlineStr">
        <is>
          <t>-</t>
        </is>
      </c>
      <c r="R21" s="2" t="inlineStr">
        <is>
          <t>-</t>
        </is>
      </c>
      <c r="S21" s="5">
        <f>IF(AND(ISNUMBER(R21),ISNUMBER(M21),M21&lt;&gt;0),(R21-M21)/M21,"-")</f>
        <v/>
      </c>
      <c r="T21" s="2" t="inlineStr">
        <is>
          <t>-</t>
        </is>
      </c>
      <c r="U21" s="5">
        <f>IF(AND(ISNUMBER(T21),ISNUMBER(N21),N21&lt;&gt;0),(T21-N21)/N21,"-")</f>
        <v/>
      </c>
      <c r="V21" s="2" t="n">
        <v>15.55</v>
      </c>
      <c r="W21" s="5">
        <f>IF(AND(ISNUMBER(V21),ISNUMBER(O21),O21&lt;&gt;0),(V21-O21)/O21,"-")</f>
        <v/>
      </c>
      <c r="X21" s="2" t="inlineStr">
        <is>
          <t>待发布(预计2026-11上旬)</t>
        </is>
      </c>
      <c r="Y21" s="5">
        <f>IF(AND(ISNUMBER(X21),ISNUMBER(P21),P21&lt;&gt;0),(X21-P21)/P21,"-")</f>
        <v/>
      </c>
      <c r="Z21" s="3" t="inlineStr">
        <is>
          <t>26Q2 净成品铝产量 155,469 吨=15.55 万吨（同比-61%：地区紧张局势对 1/2/3 号线控制性停产）；销量 280,799 吨（-32%）。源：Alba Q2/H1 2026 业绩（2026-08-04）</t>
        </is>
      </c>
      <c r="AA21" s="3" t="n"/>
      <c r="AB21" s="3" t="inlineStr">
        <is>
          <t>大型电解铝厂；季报≈季后4-6周；2026-08-18新增骨架行，数据待回填</t>
        </is>
      </c>
    </row>
    <row r="22">
      <c r="A22" s="2" t="inlineStr">
        <is>
          <t>Ma'aden</t>
        </is>
      </c>
      <c r="B22" s="2" t="inlineStr">
        <is>
          <t>沙特</t>
        </is>
      </c>
      <c r="C22" s="3" t="inlineStr">
        <is>
          <t>Ras Al Khair电解铝（Ma'aden 74.9%/Alcoa 25.1% JV，合并口径）</t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-</t>
        </is>
      </c>
      <c r="N22" s="2" t="inlineStr">
        <is>
          <t>-</t>
        </is>
      </c>
      <c r="O22" s="2" t="inlineStr">
        <is>
          <t>-</t>
        </is>
      </c>
      <c r="P22" s="2" t="inlineStr">
        <is>
          <t>-</t>
        </is>
      </c>
      <c r="Q22" s="2" t="inlineStr">
        <is>
          <t>-</t>
        </is>
      </c>
      <c r="R22" s="2" t="inlineStr">
        <is>
          <t>-</t>
        </is>
      </c>
      <c r="S22" s="5">
        <f>IF(AND(ISNUMBER(R22),ISNUMBER(M22),M22&lt;&gt;0),(R22-M22)/M22,"-")</f>
        <v/>
      </c>
      <c r="T22" s="2" t="n">
        <v>24.9</v>
      </c>
      <c r="U22" s="5">
        <f>IF(AND(ISNUMBER(T22),ISNUMBER(N22),N22&lt;&gt;0),(T22-N22)/N22,"-")</f>
        <v/>
      </c>
      <c r="V22" s="2" t="n">
        <v>24.2</v>
      </c>
      <c r="W22" s="5">
        <f>IF(AND(ISNUMBER(V22),ISNUMBER(O22),O22&lt;&gt;0),(V22-O22)/O22,"-")</f>
        <v/>
      </c>
      <c r="X22" s="2" t="inlineStr">
        <is>
          <t>待发布(预计2026-11上旬)</t>
        </is>
      </c>
      <c r="Y22" s="5">
        <f>IF(AND(ISNUMBER(X22),ISNUMBER(P22),P22&lt;&gt;0),(X22-P22)/P22,"-")</f>
        <v/>
      </c>
      <c r="Z22" s="3" t="inlineStr">
        <is>
          <t>26Q2 原铝 242,000 吨=24.2 万吨（环比微降）；铝板块收入 +49% 至 $1.01bn（均价+51%）。26Q1=24.9 为二手源（vision2030，待核）。源：Ma'aden Q2 2026（Tadawul，8 月上旬）/AlCircle</t>
        </is>
      </c>
      <c r="AA22" s="3" t="n"/>
      <c r="AB22" s="3" t="inlineStr">
        <is>
          <t>季报（Tadawul）≈季后4-5周；2026-08-18新增骨架行，数据待回填</t>
        </is>
      </c>
    </row>
    <row r="23">
      <c r="A23" s="6" t="inlineStr">
        <is>
          <t>总计</t>
        </is>
      </c>
      <c r="B23" s="6" t="inlineStr">
        <is>
          <t>-</t>
        </is>
      </c>
      <c r="C23" s="6" t="inlineStr">
        <is>
          <t>表中公司合计（口径混杂，仅供参考）</t>
        </is>
      </c>
      <c r="D23" s="7">
        <f>SUM(D2:D22)</f>
        <v/>
      </c>
      <c r="E23" s="7">
        <f>SUM(E2:E22)</f>
        <v/>
      </c>
      <c r="F23" s="7">
        <f>SUM(F2:F22)</f>
        <v/>
      </c>
      <c r="G23" s="7">
        <f>SUM(G2:G22)</f>
        <v/>
      </c>
      <c r="H23" s="7">
        <f>SUM(H2:H22)</f>
        <v/>
      </c>
      <c r="I23" s="7">
        <f>SUM(I2:I22)</f>
        <v/>
      </c>
      <c r="J23" s="7">
        <f>SUM(J2:J22)</f>
        <v/>
      </c>
      <c r="K23" s="7">
        <f>SUM(K2:K22)</f>
        <v/>
      </c>
      <c r="L23" s="7">
        <f>SUM(L2:L22)</f>
        <v/>
      </c>
      <c r="M23" s="7">
        <f>SUM(M2:M22)</f>
        <v/>
      </c>
      <c r="N23" s="7">
        <f>SUM(N2:N22)</f>
        <v/>
      </c>
      <c r="O23" s="7">
        <f>SUM(O2:O22)</f>
        <v/>
      </c>
      <c r="P23" s="7">
        <f>SUM(P2:P22)</f>
        <v/>
      </c>
      <c r="Q23" s="7">
        <f>SUM(Q2:Q22)</f>
        <v/>
      </c>
      <c r="R23" s="7">
        <f>SUM(R2:R22)</f>
        <v/>
      </c>
      <c r="S23" s="8">
        <f>IF(AND(ISNUMBER(R23),ISNUMBER(M23),M23&lt;&gt;0),(R23-M23)/M23,"-")</f>
        <v/>
      </c>
      <c r="T23" s="7">
        <f>SUM(T2:T22)</f>
        <v/>
      </c>
      <c r="U23" s="8">
        <f>IF(AND(ISNUMBER(T23),ISNUMBER(N23),N23&lt;&gt;0),(T23-N23)/N23,"-")</f>
        <v/>
      </c>
      <c r="V23" s="7">
        <f>SUM(V2:V22)</f>
        <v/>
      </c>
      <c r="W23" s="8">
        <f>IF(AND(ISNUMBER(V23),ISNUMBER(O23),O23&lt;&gt;0),(V23-O23)/O23,"-")</f>
        <v/>
      </c>
      <c r="X23" s="7">
        <f>SUM(X2:X22)</f>
        <v/>
      </c>
      <c r="Y23" s="8">
        <f>IF(AND(ISNUMBER(X23),ISNUMBER(P23),P23&lt;&gt;0),(X23-P23)/P23,"-")</f>
        <v/>
      </c>
      <c r="Z23" s="6" t="inlineStr">
        <is>
          <t>-</t>
        </is>
      </c>
      <c r="AA23" s="6" t="inlineStr">
        <is>
          <t>-</t>
        </is>
      </c>
      <c r="AB23" s="9" t="inlineStr">
        <is>
          <t>有数据列直接求和；注意口径混杂（权益/100%合并/湿吨/半年度/财年值），仅作量级参考。俄铝为年度值（计入总计列）；NALCO 为财年值（财年止3月）；South32 财年止6月；印度三家财年止3月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  <col width="55" customWidth="1" min="3" max="3"/>
  </cols>
  <sheetData>
    <row r="1">
      <c r="A1" s="1" t="inlineStr">
        <is>
          <t>日期</t>
        </is>
      </c>
      <c r="B1" s="1" t="inlineStr">
        <is>
          <t>更新内容</t>
        </is>
      </c>
      <c r="C1" s="1" t="inlineStr">
        <is>
          <t>数据来源</t>
        </is>
      </c>
    </row>
    <row r="2">
      <c r="A2" s="3" t="inlineStr">
        <is>
          <t>2026-07-26</t>
        </is>
      </c>
      <c r="B2" s="3" t="inlineStr">
        <is>
          <t>首次建立：铝土矿/氧化铝/电解铝季度产量 23Q1-26Q2（11家海外+8家国内；Press Metal/Century/Metro 待补，俄铝及多数A股为年度/半年度披露）</t>
        </is>
      </c>
      <c r="C2" s="3" t="inlineStr">
        <is>
          <t>各公司季报/年报/SEC 8-K/港交所/巨潮资讯（2026-07-26 调研）</t>
        </is>
      </c>
    </row>
    <row r="3">
      <c r="A3" s="3" t="inlineStr">
        <is>
          <t>2026-07-26</t>
        </is>
      </c>
      <c r="B3" s="3" t="inlineStr">
        <is>
          <t>回填Century（出货量口径，23Q1-26Q1全序列，SEC 8-K原文；26Q2财报预计8月上旬）和Metro Mining（发运量湿吨口径，23Q1-26Q2全序列，ASX季报原文）；Press Metal确认季报不披露产量，保留占位并注明产能锚点1.08Mtpa。</t>
        </is>
      </c>
      <c r="C3" s="3" t="inlineStr">
        <is>
          <t>SEC EDGAR(CENX 8-K)/ASX公告(MMI季报+2026-07-07运营更新)/Bursa季报(PMETAL 2026Q1)</t>
        </is>
      </c>
    </row>
    <row r="4">
      <c r="A4" t="inlineStr">
        <is>
          <t>2026-08-17</t>
        </is>
      </c>
      <c r="B4" t="inlineStr">
        <is>
          <t>信息速递补充：美铝/力拓/海德鲁26Q2已录入(7/16-7/22披露)，补8月铝行情+再生铝调研；news.json新增6条(阿拉丁/爱择源)</t>
        </is>
      </c>
      <c r="C4" t="inlineStr">
        <is>
          <t>阿拉丁(ALD)/爱择咨询/安徽再生铝调研(2026-08-17)</t>
        </is>
      </c>
    </row>
    <row r="5">
      <c r="A5" t="inlineStr">
        <is>
          <t>2026-08-18</t>
        </is>
      </c>
      <c r="B5" t="inlineStr">
        <is>
          <t>新增骨架行：Ma'aden铝土矿（优先新增）；数据列占位待回填</t>
        </is>
      </c>
      <c r="C5" t="inlineStr">
        <is>
          <t>审计建议（16家优先新增+8个跨品种归类修正，2026-08-18）</t>
        </is>
      </c>
    </row>
    <row r="6">
      <c r="A6" t="inlineStr">
        <is>
          <t>2026-08-18</t>
        </is>
      </c>
      <c r="B6" t="inlineStr">
        <is>
          <t>新增骨架行：Ma'aden氧化铝（优先新增）；数据列占位待回填</t>
        </is>
      </c>
      <c r="C6" t="inlineStr">
        <is>
          <t>审计建议（16家优先新增+8个跨品种归类修正，2026-08-18）</t>
        </is>
      </c>
    </row>
    <row r="7">
      <c r="A7" t="inlineStr">
        <is>
          <t>2026-08-18</t>
        </is>
      </c>
      <c r="B7" t="inlineStr">
        <is>
          <t>新增骨架行：Alba+Ma'aden电解铝（优先新增）；数据列占位待回填</t>
        </is>
      </c>
      <c r="C7" t="inlineStr">
        <is>
          <t>审计建议（16家优先新增+8个跨品种归类修正，2026-08-18）</t>
        </is>
      </c>
    </row>
    <row r="8">
      <c r="A8" t="inlineStr">
        <is>
          <t>2026-08-24</t>
        </is>
      </c>
      <c r="B8" t="inlineStr">
        <is>
          <t>铝 26Q2 欠账补录：Century 13.06 / Alba 15.55（-61% 停产事件）/ Ma'aden 24.2 万吨；Hindalco 33.5（出货量口径）；RUSAL H1=201.0（半年口径）；Ma'aden 铝土矿/氧化铝未找到</t>
        </is>
      </c>
      <c r="C8" t="inlineStr">
        <is>
          <t>Century 8-K；Alba 官网 8/4；Ma'aden Tadawul/AlCircle；Hindalco 官网 8/7；RUSAL HKEX 8/19</t>
        </is>
      </c>
    </row>
    <row r="9">
      <c r="A9" t="inlineStr">
        <is>
          <t>2026-08-31</t>
        </is>
      </c>
      <c r="B9" t="inlineStr">
        <is>
          <t>铝 26Q2 回填：NALCO三板块(矿182.9/氧57.7/铝11.6,Q1FY27官方演示稿)；中铝氧333+原铝201（中报H1−Q1推算）；云铝H1=65/162；天山H1=126.23/66.05；宏桥/神火=未披露(中报仅销量/定性)；Press Metal核验26Q2季报仍无产量(保持'-')</t>
        </is>
      </c>
      <c r="C9" t="inlineStr">
        <is>
          <t>NALCO官网新闻稿8/1+演示稿；中铝/云铝/天山/神火中报(巨潮)；宏桥港交所中报8/21</t>
        </is>
      </c>
    </row>
    <row r="10">
      <c r="A10" t="inlineStr">
        <is>
          <t>2026-10-07</t>
        </is>
      </c>
      <c r="B10" t="inlineStr">
        <is>
          <t>开 26Q3 列。Vedanta Q2FY27(7-9月)入库：氧化铝(Lanjigarh) 89.5万吨(+37% YoY，季度纪录，扩产爬坡)；电解铝 64.9万吨(+5%，季度纪录；Jharsuguda 47.0万吨+BALCO 17.8万吨+19%)。</t>
        </is>
      </c>
      <c r="C10" t="inlineStr">
        <is>
          <t>Vedanta Q2FY27 Production Release 2026-10-03</t>
        </is>
      </c>
    </row>
    <row r="11">
      <c r="A11" t="inlineStr">
        <is>
          <t>2026-10-14</t>
        </is>
      </c>
      <c r="B11" t="inlineStr">
        <is>
          <t>26Q2复核：天山铝土矿——2026中报(8/25)复核确认无开采量绝对值，保持空缺；神火电解铝中报仅"满产满销"定性无吨数（8/31已记），维持空缺</t>
        </is>
      </c>
      <c r="C11" t="inlineStr">
        <is>
          <t>天山铝业/神火股份2026半年度报告全文（新浪财经/巨潮）</t>
        </is>
      </c>
    </row>
    <row r="12">
      <c r="A12" t="inlineStr">
        <is>
          <t>2026-10-14</t>
        </is>
      </c>
      <c r="B12" t="inlineStr">
        <is>
          <t>铝 26Q2 缺口收口：Hindalco 氧化铝 26Q2=94.3万吨（Q1FY27 官方演示稿 p.33：Alumina incl Utkal 943KT，-2% YoY；Utkal 654KT +1%）——此前 8/24 仅据新闻稿标'未披露'，演示稿实际有产量；电解铝 26Q2=33.5（出货量口径）维持不变</t>
        </is>
      </c>
      <c r="C12" t="inlineStr">
        <is>
          <t>Hindalco Q1FY27 Earnings Presentation（hindalco.com/Upload/PDF/hindalco-investor-presentation-q1fy27.pdf，2026-08-07）</t>
        </is>
      </c>
    </row>
    <row r="13">
      <c r="A13" t="inlineStr">
        <is>
          <t>2026-10-26</t>
        </is>
      </c>
      <c r="B13" t="inlineStr">
        <is>
          <t>铝26Q3第一批：美铝(矿930/氧246.7/铝64.9)、力拓(1574.5/207.1/84.2)、海德鲁(241.0/149.3/50.3)、South32(Worsley 96.6/巴西氧34.5/Hillside 17.7/巴西铝4.0/Mozal 0)入库；其余按披露日历标待发布或无季度披露</t>
        </is>
      </c>
      <c r="C13" t="inlineStr">
        <is>
          <t>Alcoa 8-K EX-99.1 10/15；Rio Tinto Q3 Operations Review+官方XLSX 10/14；Hydro Q3 Report 10/23；South32 September Quarterly Report 10/19；Century/Hindalco/NALCO披露日历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2026-07-26T11:08:26Z</dcterms:created>
  <dcterms:modified xmlns:dcterms="http://purl.org/dc/terms/" xmlns:xsi="http://www.w3.org/2001/XMLSchema-instance" xsi:type="dcterms:W3CDTF">2026-10-26T05:40:24Z</dcterms:modified>
</cp:coreProperties>
</file>