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级镍·季度产量" sheetId="1" state="visible" r:id="rId1"/>
    <sheet xmlns:r="http://schemas.openxmlformats.org/officeDocument/2006/relationships" name="镍铁NPI·季度产量" sheetId="2" state="visible" r:id="rId2"/>
    <sheet xmlns:r="http://schemas.openxmlformats.org/officeDocument/2006/relationships" name="印尼中间品·季度产量" sheetId="3" state="visible" r:id="rId3"/>
    <sheet xmlns:r="http://schemas.openxmlformats.org/officeDocument/2006/relationships" name="更新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48" customWidth="1" min="24" max="24"/>
    <col width="24" customWidth="1" min="25" max="25"/>
    <col width="52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</row>
    <row r="2">
      <c r="A2" t="inlineStr">
        <is>
          <t>Nornickel</t>
        </is>
      </c>
      <c r="B2" t="inlineStr">
        <is>
          <t>俄罗斯</t>
        </is>
      </c>
      <c r="C2" t="inlineStr">
        <is>
          <t>集团合并可售镍(100%)</t>
        </is>
      </c>
      <c r="D2" t="n">
        <v>46667</v>
      </c>
      <c r="E2" t="n">
        <v>44659</v>
      </c>
      <c r="F2" t="n">
        <v>54406</v>
      </c>
      <c r="G2" t="n">
        <v>62845</v>
      </c>
      <c r="H2" t="n">
        <v>208577</v>
      </c>
      <c r="I2" t="n">
        <v>42101</v>
      </c>
      <c r="J2" t="n">
        <v>48304</v>
      </c>
      <c r="K2" t="n">
        <v>55805</v>
      </c>
      <c r="L2" t="n">
        <v>58857</v>
      </c>
      <c r="M2" t="n">
        <v>205067</v>
      </c>
      <c r="N2" t="n">
        <v>41617</v>
      </c>
      <c r="O2" t="n">
        <v>45233</v>
      </c>
      <c r="P2" t="n">
        <v>53555</v>
      </c>
      <c r="Q2" t="n">
        <v>58116</v>
      </c>
      <c r="R2" t="n">
        <v>198521</v>
      </c>
      <c r="S2">
        <f>IF(AND(ISNUMBER(R2),ISNUMBER(M2),M2&lt;&gt;0),(R2-M2)/M2,"-")</f>
        <v/>
      </c>
      <c r="T2" t="n">
        <v>41746</v>
      </c>
      <c r="U2">
        <f>IF(AND(ISNUMBER(T2),ISNUMBER(N2),N2&lt;&gt;0),(T2-N2)/N2,"-")</f>
        <v/>
      </c>
      <c r="V2" t="n">
        <v>43282</v>
      </c>
      <c r="W2" t="inlineStr">
        <is>
          <t>-</t>
        </is>
      </c>
      <c r="X2" t="inlineStr">
        <is>
          <t>26Q2 43,282吨(+3.7% QoQ)；H1 85,028吨；FY26指引193-203kt维持</t>
        </is>
      </c>
      <c r="Y2" t="inlineStr">
        <is>
          <t>19.3-20.3万吨</t>
        </is>
      </c>
      <c r="Z2" t="inlineStr">
        <is>
          <t>自有俄原料占99.8%;Q3 53555以官网3Q25 PDF为准(Interfax报53550)</t>
        </is>
      </c>
    </row>
    <row r="3">
      <c r="A3" t="inlineStr">
        <is>
          <t>Glencore</t>
        </is>
      </c>
      <c r="B3" t="inlineStr">
        <is>
          <t>加拿大/挪威</t>
        </is>
      </c>
      <c r="C3" t="inlineStr">
        <is>
          <t>INO(100%自产)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n">
        <v>32700</v>
      </c>
      <c r="I3" t="n">
        <v>10600</v>
      </c>
      <c r="J3" t="n">
        <v>11700</v>
      </c>
      <c r="K3" t="n">
        <v>8800</v>
      </c>
      <c r="L3" t="n">
        <v>11800</v>
      </c>
      <c r="M3" t="n">
        <v>42900</v>
      </c>
      <c r="N3" t="n">
        <v>10400</v>
      </c>
      <c r="O3" t="n">
        <v>11600</v>
      </c>
      <c r="P3" t="n">
        <v>5500</v>
      </c>
      <c r="Q3" t="n">
        <v>12300</v>
      </c>
      <c r="R3" t="n">
        <v>39800</v>
      </c>
      <c r="S3">
        <f>IF(AND(ISNUMBER(R3),ISNUMBER(M3),M3&lt;&gt;0),(R3-M3)/M3,"-")</f>
        <v/>
      </c>
      <c r="T3" t="n">
        <v>9300</v>
      </c>
      <c r="U3">
        <f>IF(AND(ISNUMBER(T3),ISNUMBER(N3),N3&lt;&gt;0),(T3-N3)/N3,"-")</f>
        <v/>
      </c>
      <c r="V3" t="n">
        <v>10400</v>
      </c>
      <c r="W3" t="inlineStr">
        <is>
          <t>-</t>
        </is>
      </c>
      <c r="X3" t="inlineStr">
        <is>
          <t>26Q2 INO 10,400吨(Q1 9,300);H1 19,700</t>
        </is>
      </c>
      <c r="Y3" t="inlineStr">
        <is>
          <t>无单体指引（集团自产镍 7-8 万吨含 Murrin）</t>
        </is>
      </c>
      <c r="Z3" t="inlineStr">
        <is>
          <t>own sourced不含第三方来料;Koniambo已停产归零</t>
        </is>
      </c>
    </row>
    <row r="4">
      <c r="A4" t="inlineStr">
        <is>
          <t>Glencore</t>
        </is>
      </c>
      <c r="B4" t="inlineStr">
        <is>
          <t>澳大利亚</t>
        </is>
      </c>
      <c r="C4" t="inlineStr">
        <is>
          <t>Murrin Murrin(100%自产)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n">
        <v>36400</v>
      </c>
      <c r="I4" t="n">
        <v>8900</v>
      </c>
      <c r="J4" t="n">
        <v>9700</v>
      </c>
      <c r="K4" t="n">
        <v>10400</v>
      </c>
      <c r="L4" t="n">
        <v>8000</v>
      </c>
      <c r="M4" t="n">
        <v>37000</v>
      </c>
      <c r="N4" t="n">
        <v>8400</v>
      </c>
      <c r="O4" t="n">
        <v>6200</v>
      </c>
      <c r="P4" t="n">
        <v>10300</v>
      </c>
      <c r="Q4" t="n">
        <v>7200</v>
      </c>
      <c r="R4" t="n">
        <v>32100</v>
      </c>
      <c r="S4">
        <f>IF(AND(ISNUMBER(R4),ISNUMBER(M4),M4&lt;&gt;0),(R4-M4)/M4,"-")</f>
        <v/>
      </c>
      <c r="T4" t="n">
        <v>7900</v>
      </c>
      <c r="U4">
        <f>IF(AND(ISNUMBER(T4),ISNUMBER(N4),N4&lt;&gt;0),(T4-N4)/N4,"-")</f>
        <v/>
      </c>
      <c r="V4" t="n">
        <v>8200</v>
      </c>
      <c r="W4" t="inlineStr">
        <is>
          <t>-</t>
        </is>
      </c>
      <c r="X4" t="inlineStr">
        <is>
          <t>26Q2 Murrin 8,200吨(Q1 7,900);H1 16,100；集团镍H1 35,800(-2%),FY26指引70-80kt维持</t>
        </is>
      </c>
      <c r="Y4" t="inlineStr">
        <is>
          <t>无单体指引（集团自产镍 7-8 万吨含 INO）</t>
        </is>
      </c>
      <c r="Z4" t="inlineStr">
        <is>
          <t>25Q4为推算值,7/29 H1报告后回核</t>
        </is>
      </c>
    </row>
    <row r="5">
      <c r="A5" t="inlineStr">
        <is>
          <t>Vale</t>
        </is>
      </c>
      <c r="B5" t="inlineStr">
        <is>
          <t>加拿大</t>
        </is>
      </c>
      <c r="C5" t="inlineStr">
        <is>
          <t>Sudbury(成品镍·厂址)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n">
        <v>57600</v>
      </c>
      <c r="I5" t="n">
        <v>13800</v>
      </c>
      <c r="J5" t="n">
        <v>4600</v>
      </c>
      <c r="K5" t="n">
        <v>17400</v>
      </c>
      <c r="L5" t="n">
        <v>14800</v>
      </c>
      <c r="M5" t="n">
        <v>50600</v>
      </c>
      <c r="N5" t="n">
        <v>15400</v>
      </c>
      <c r="O5" t="n">
        <v>14600</v>
      </c>
      <c r="P5" t="n">
        <v>15000</v>
      </c>
      <c r="Q5" t="n">
        <v>14400</v>
      </c>
      <c r="R5" t="n">
        <v>59400</v>
      </c>
      <c r="S5">
        <f>IF(AND(ISNUMBER(R5),ISNUMBER(M5),M5&lt;&gt;0),(R5-M5)/M5,"-")</f>
        <v/>
      </c>
      <c r="T5" t="n">
        <v>15400</v>
      </c>
      <c r="U5">
        <f>IF(AND(ISNUMBER(T5),ISNUMBER(N5),N5&lt;&gt;0),(T5-N5)/N5,"-")</f>
        <v/>
      </c>
      <c r="V5" t="n">
        <v>9700</v>
      </c>
      <c r="W5">
        <f>IF(AND(ISNUMBER(V5),ISNUMBER(O5),O5&lt;&gt;0),(V5-O5)/O5,"-")</f>
        <v/>
      </c>
      <c r="X5" t="inlineStr">
        <is>
          <t>26Q2 -33.6%:两年一度计划大检修(磨机/冶炼/精炼各4周集中Q2),下半年恢复</t>
        </is>
      </c>
      <c r="Y5" t="inlineStr">
        <is>
          <t>无单体指引（集团镍 175-200kt）</t>
        </is>
      </c>
      <c r="Z5" t="inlineStr">
        <is>
          <t>by Site口径含外来原料</t>
        </is>
      </c>
    </row>
    <row r="6">
      <c r="A6" t="inlineStr">
        <is>
          <t>Vale</t>
        </is>
      </c>
      <c r="B6" t="inlineStr">
        <is>
          <t>加拿大</t>
        </is>
      </c>
      <c r="C6" t="inlineStr">
        <is>
          <t>Voisey's Bay+Long Harbour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27700</v>
      </c>
      <c r="I6" t="n">
        <v>7700</v>
      </c>
      <c r="J6" t="n">
        <v>4200</v>
      </c>
      <c r="K6" t="n">
        <v>9500</v>
      </c>
      <c r="L6" t="n">
        <v>9200</v>
      </c>
      <c r="M6" t="n">
        <v>30600</v>
      </c>
      <c r="N6" t="n">
        <v>10000</v>
      </c>
      <c r="O6" t="n">
        <v>11000</v>
      </c>
      <c r="P6" t="n">
        <v>11700</v>
      </c>
      <c r="Q6" t="n">
        <v>7600</v>
      </c>
      <c r="R6" t="n">
        <v>40300</v>
      </c>
      <c r="S6">
        <f>IF(AND(ISNUMBER(R6),ISNUMBER(M6),M6&lt;&gt;0),(R6-M6)/M6,"-")</f>
        <v/>
      </c>
      <c r="T6" t="n">
        <v>11200</v>
      </c>
      <c r="U6">
        <f>IF(AND(ISNUMBER(T6),ISNUMBER(N6),N6&lt;&gt;0),(T6-N6)/N6,"-")</f>
        <v/>
      </c>
      <c r="V6" t="n">
        <v>12200</v>
      </c>
      <c r="W6">
        <f>IF(AND(ISNUMBER(V6),ISNUMBER(O6),O6&lt;&gt;0),(V6-O6)/O6,"-")</f>
        <v/>
      </c>
      <c r="X6" t="inlineStr">
        <is>
          <t>26Q2 +10.9%:VB地下矿放量+Long Harbour创纪录</t>
        </is>
      </c>
    </row>
    <row r="7">
      <c r="A7" t="inlineStr">
        <is>
          <t>Vale</t>
        </is>
      </c>
      <c r="B7" t="inlineStr">
        <is>
          <t>英国/日本</t>
        </is>
      </c>
      <c r="C7" t="inlineStr">
        <is>
          <t>独立精炼厂(Clydach+Matsusaka)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46600</v>
      </c>
      <c r="I7" t="n">
        <v>13500</v>
      </c>
      <c r="J7" t="n">
        <v>11800</v>
      </c>
      <c r="K7" t="n">
        <v>13500</v>
      </c>
      <c r="L7" t="n">
        <v>15700</v>
      </c>
      <c r="M7" t="n">
        <v>54500</v>
      </c>
      <c r="N7" t="n">
        <v>12700</v>
      </c>
      <c r="O7" t="n">
        <v>9200</v>
      </c>
      <c r="P7" t="n">
        <v>13800</v>
      </c>
      <c r="Q7" t="n">
        <v>14100</v>
      </c>
      <c r="R7" t="n">
        <v>49800</v>
      </c>
      <c r="S7">
        <f>IF(AND(ISNUMBER(R7),ISNUMBER(M7),M7&lt;&gt;0),(R7-M7)/M7,"-")</f>
        <v/>
      </c>
      <c r="T7" t="n">
        <v>13800</v>
      </c>
      <c r="U7">
        <f>IF(AND(ISNUMBER(T7),ISNUMBER(N7),N7&lt;&gt;0),(T7-N7)/N7,"-")</f>
        <v/>
      </c>
      <c r="V7" t="n">
        <v>10800</v>
      </c>
      <c r="W7">
        <f>IF(AND(ISNUMBER(V7),ISNUMBER(O7),O7&lt;&gt;0),(V7-O7)/O7,"-")</f>
        <v/>
      </c>
      <c r="X7" t="inlineStr">
        <is>
          <t>加工第三方/PTVI原料;26Q2 Clydach 5.2kt+Matsusaka 5.6kt</t>
        </is>
      </c>
    </row>
    <row r="8">
      <c r="A8" t="inlineStr">
        <is>
          <t>住友金属矿山</t>
        </is>
      </c>
      <c r="B8" t="inlineStr">
        <is>
          <t>日本</t>
        </is>
      </c>
      <c r="C8" t="inlineStr">
        <is>
          <t>镍合计(电解镍+硫酸镍+镍铁)</t>
        </is>
      </c>
      <c r="D8" t="n">
        <v>22188</v>
      </c>
      <c r="E8" t="n">
        <v>19606</v>
      </c>
      <c r="F8" t="n">
        <v>19890</v>
      </c>
      <c r="G8" t="n">
        <v>19646</v>
      </c>
      <c r="H8" t="n">
        <v>81330</v>
      </c>
      <c r="I8" t="n">
        <v>21634</v>
      </c>
      <c r="J8" t="n">
        <v>19240</v>
      </c>
      <c r="K8" t="n">
        <v>22184</v>
      </c>
      <c r="L8" t="n">
        <v>19000</v>
      </c>
      <c r="M8" t="n">
        <v>82058</v>
      </c>
      <c r="N8" t="n">
        <v>20575</v>
      </c>
      <c r="O8" t="n">
        <v>25200</v>
      </c>
      <c r="P8" t="n">
        <v>22900</v>
      </c>
      <c r="Q8" t="n">
        <v>21900</v>
      </c>
      <c r="R8" t="n">
        <v>86600</v>
      </c>
      <c r="S8" t="inlineStr">
        <is>
          <t>-</t>
        </is>
      </c>
      <c r="T8" t="n">
        <v>22000</v>
      </c>
      <c r="U8">
        <f>IF(AND(ISNUMBER(T8),ISNUMBER(N8),N8&lt;&gt;0),(T8-N8)/N8,"-")</f>
        <v/>
      </c>
      <c r="V8" t="n">
        <v>19900</v>
      </c>
      <c r="W8" t="inlineStr">
        <is>
          <t>-</t>
        </is>
      </c>
      <c r="X8" t="inlineStr">
        <is>
          <t>26Q2(=FY2026Q1,2026年4-6月)镍合计19,900吨(环比-9.85%/同比-8.72%):电解镍15,100+硫酸镍3,700吨镍+水淬镍1,000吨镍;菲律宾NAC项目MSP 11,900吨镍(+23.96% QoQ)。决算8/7已发。源:Mysteel镍早读2026-08-19(新浪转载)+铁合金在线2026-08-12</t>
        </is>
      </c>
      <c r="Y8" t="inlineStr">
        <is>
          <t>6.91万吨（FY26 电解镍 6.46+镍铁 0.45，财年止 3 月）</t>
        </is>
      </c>
      <c r="Z8" t="inlineStr">
        <is>
          <t>25Q1由26Q1同比+9.95%反推;财年止3月,Mysteel按日历年重排｜23-25季度值以镍季度生产报告.xlsx为基准(公司镍合计=电解镍+硫酸镍+镍铁)｜26Q2已按决算拆分入库(2026-08-31):合计19,900吨;注意25Q2=25,200为源表基准、公司口径约21,800,同比列暂不启用</t>
        </is>
      </c>
    </row>
    <row r="9">
      <c r="A9" t="inlineStr">
        <is>
          <t>Ambatovy</t>
        </is>
      </c>
      <c r="B9" t="inlineStr">
        <is>
          <t>马达加斯加</t>
        </is>
      </c>
      <c r="C9" t="inlineStr">
        <is>
          <t>精镍(镍豆/镍饼,100%)</t>
        </is>
      </c>
      <c r="D9" t="n">
        <v>10000</v>
      </c>
      <c r="E9" t="n">
        <v>10000</v>
      </c>
      <c r="F9" t="n">
        <v>9000</v>
      </c>
      <c r="G9" t="n">
        <v>7000</v>
      </c>
      <c r="H9" t="n">
        <v>36000</v>
      </c>
      <c r="I9" t="n">
        <v>5000</v>
      </c>
      <c r="J9" t="n">
        <v>8000</v>
      </c>
      <c r="K9" t="n">
        <v>8400</v>
      </c>
      <c r="L9" t="n">
        <v>6100</v>
      </c>
      <c r="M9" t="n">
        <v>27500</v>
      </c>
      <c r="N9" t="n">
        <v>5000</v>
      </c>
      <c r="O9" t="n">
        <v>7100</v>
      </c>
      <c r="P9" t="n">
        <v>9000</v>
      </c>
      <c r="Q9" t="n">
        <v>8400</v>
      </c>
      <c r="R9" t="n">
        <v>29000</v>
      </c>
      <c r="S9" t="inlineStr">
        <is>
          <t>-</t>
        </is>
      </c>
      <c r="T9" t="inlineStr">
        <is>
          <t>气旋停产(仅几千吨)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2026/2 气旋停产；住友已退出（6月交割 AMRI 54.17%+KOMIR），重启目标 6 月底；交割后无公开季报 → 26Q2 停产/未披露。源：mining.com 2026-05-01 + hsfkramer 2026-06-01</t>
        </is>
      </c>
      <c r="Y9" t="inlineStr">
        <is>
          <t>指引撤回</t>
        </is>
      </c>
      <c r="Z9" t="inlineStr">
        <is>
          <t>25Q1为反推;交割后住友季报或停披露,改跟AMRI/官网｜23-25季度以源表为基准(2025=29500)</t>
        </is>
      </c>
    </row>
    <row r="10">
      <c r="A10" t="inlineStr">
        <is>
          <t>Implats</t>
        </is>
      </c>
      <c r="B10" t="inlineStr">
        <is>
          <t>南非</t>
        </is>
      </c>
      <c r="C10" t="inlineStr">
        <is>
          <t>Rustenburg精炼镍(PGM副产)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n">
        <v>15335</v>
      </c>
      <c r="I10" t="n">
        <v>3828</v>
      </c>
      <c r="J10" t="n">
        <v>4018</v>
      </c>
      <c r="K10" t="n">
        <v>3928</v>
      </c>
      <c r="L10" t="n">
        <v>4000</v>
      </c>
      <c r="M10" t="n">
        <v>15774</v>
      </c>
      <c r="N10" t="inlineStr">
        <is>
          <t>-</t>
        </is>
      </c>
      <c r="O10" t="inlineStr">
        <is>
          <t>-</t>
        </is>
      </c>
      <c r="P10" t="n">
        <v>9593</v>
      </c>
      <c r="Q10" t="inlineStr">
        <is>
          <t>-</t>
        </is>
      </c>
      <c r="R10" t="n">
        <v>15693</v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FY2026(止2026-06-30)全年精炼镍(gross refined and saleable)18,456吨(+17.6%)已披露(7/31产量报告,JSE SENS),无半年/季度拆分;9/3前后经审计年度业绩全文后复核→26Q2记-</t>
        </is>
      </c>
      <c r="Y10" t="inlineStr">
        <is>
          <t>无镍专项指引</t>
        </is>
      </c>
      <c r="Z10" t="inlineStr">
        <is>
          <t>不按季度披露镍,仅半年报/年报;FY25=15693｜公司不按季度披露镍;24季度为源表拆分值｜FY26全年18,456吨(7/31已披露),无日历季度拆分(2026-08-31核)</t>
        </is>
      </c>
    </row>
    <row r="11">
      <c r="A11" t="inlineStr">
        <is>
          <t>Sibanye-Stillwater</t>
        </is>
      </c>
      <c r="B11" t="inlineStr">
        <is>
          <t>法国</t>
        </is>
      </c>
      <c r="C11" t="inlineStr">
        <is>
          <t>Sandouville电解镍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n">
        <v>5714</v>
      </c>
      <c r="I11" t="n">
        <v>1935</v>
      </c>
      <c r="J11" t="n">
        <v>1736</v>
      </c>
      <c r="K11" t="n">
        <v>1835</v>
      </c>
      <c r="L11" t="n">
        <v>1800</v>
      </c>
      <c r="M11" t="n">
        <v>7306</v>
      </c>
      <c r="N11" t="n">
        <v>946</v>
      </c>
      <c r="O11" t="n">
        <v>0</v>
      </c>
      <c r="P11" t="n">
        <v>0</v>
      </c>
      <c r="Q11" t="n">
        <v>0</v>
      </c>
      <c r="R11" t="n">
        <v>946</v>
      </c>
      <c r="S11">
        <f>IF(AND(ISNUMBER(R11),ISNUMBER(M11),M11&lt;&gt;0),(R11-M11)/M11,"-")</f>
        <v/>
      </c>
      <c r="T11" t="n">
        <v>0</v>
      </c>
      <c r="U11">
        <f>IF(AND(ISNUMBER(T11),ISNUMBER(N11),N11&lt;&gt;0),(T11-N11)/N11,"-")</f>
        <v/>
      </c>
      <c r="V11" t="n">
        <v>0</v>
      </c>
      <c r="W11">
        <f>IF(AND(ISNUMBER(V11),ISNUMBER(O11),O11&lt;&gt;0),(V11-O11)/O11,"-")</f>
        <v/>
      </c>
      <c r="X11" t="inlineStr">
        <is>
          <t>已关停:2025/1收到最后一批镍锍,Q1处理完库存后归零,厂区转GalliCam pCAM项目</t>
        </is>
      </c>
      <c r="Y11" t="inlineStr">
        <is>
          <t>-</t>
        </is>
      </c>
      <c r="Z11" t="inlineStr">
        <is>
          <t>2025/1起关停,仅保留转型备注</t>
        </is>
      </c>
    </row>
    <row r="12">
      <c r="A12" t="inlineStr">
        <is>
          <t>Sherritt</t>
        </is>
      </c>
      <c r="B12" t="inlineStr">
        <is>
          <t>古巴/加拿大</t>
        </is>
      </c>
      <c r="C12" t="inlineStr">
        <is>
          <t>Moa成品镍(100%口径)</t>
        </is>
      </c>
      <c r="D12" t="n">
        <v>6966</v>
      </c>
      <c r="E12" t="n">
        <v>6536</v>
      </c>
      <c r="F12" t="n">
        <v>7682</v>
      </c>
      <c r="G12" t="n">
        <v>7488</v>
      </c>
      <c r="H12" t="n">
        <v>28672</v>
      </c>
      <c r="I12" t="n">
        <v>7194</v>
      </c>
      <c r="J12" t="n">
        <v>6766</v>
      </c>
      <c r="K12" t="n">
        <v>8666</v>
      </c>
      <c r="L12" t="n">
        <v>7706</v>
      </c>
      <c r="M12" t="n">
        <v>30332</v>
      </c>
      <c r="N12" t="n">
        <v>5894</v>
      </c>
      <c r="O12" t="inlineStr">
        <is>
          <t>-</t>
        </is>
      </c>
      <c r="P12" t="inlineStr">
        <is>
          <t>-</t>
        </is>
      </c>
      <c r="Q12" t="n">
        <v>7632</v>
      </c>
      <c r="R12" t="n">
        <v>25240</v>
      </c>
      <c r="S12" t="inlineStr">
        <is>
          <t>-</t>
        </is>
      </c>
      <c r="T12" t="n">
        <v>1885</v>
      </c>
      <c r="U12">
        <f>IF(AND(ISNUMBER(T12),ISNUMBER(N12),N12&lt;&gt;0),(T12-N12)/N12,"-")</f>
        <v/>
      </c>
      <c r="V12" t="n">
        <v>2638</v>
      </c>
      <c r="W12" t="inlineStr">
        <is>
          <t>-</t>
        </is>
      </c>
      <c r="X12" t="inlineStr">
        <is>
          <t>26Q2 Moa 成品镍权益口径 1,319 吨（同比-62%/环比-30%：古巴燃料及物资供应受限，Moa 矿山+Fort Saskatchewan 精炼厂停产检修）→ 100% 口径推算 2,638 吨（=权益×2，注明）。源：Sherritt Q2 2026 业绩（8/12）+华西证券点评</t>
        </is>
      </c>
      <c r="Y12" t="inlineStr">
        <is>
          <t>指引实质暂停</t>
        </is>
      </c>
      <c r="Z12" t="inlineStr">
        <is>
          <t>100%口径2025=25240;Q1财报迟至6/25备案(审计师辞任/OSC CTO)｜23-24源自镍季度生产报告(100%口径);2025=官方100%口径25240(50%份额12620),25Q1/Q4为份额×2推算;源表25年28248与官方存在差异待核</t>
        </is>
      </c>
    </row>
    <row r="13">
      <c r="A13" t="inlineStr">
        <is>
          <t>BHP</t>
        </is>
      </c>
      <c r="B13" t="inlineStr">
        <is>
          <t>澳大利亚</t>
        </is>
      </c>
      <c r="C13" t="inlineStr">
        <is>
          <t>Nickel West(停产)</t>
        </is>
      </c>
      <c r="D13" t="n">
        <v>19600</v>
      </c>
      <c r="E13" t="n">
        <v>22000</v>
      </c>
      <c r="F13" t="n">
        <v>20200</v>
      </c>
      <c r="G13" t="n">
        <v>19600</v>
      </c>
      <c r="H13" t="n">
        <v>61800</v>
      </c>
      <c r="I13" t="n">
        <v>18800</v>
      </c>
      <c r="J13" t="n">
        <v>23000</v>
      </c>
      <c r="K13" t="n">
        <v>19600</v>
      </c>
      <c r="L13" t="n">
        <v>8000</v>
      </c>
      <c r="M13" t="n">
        <v>69400</v>
      </c>
      <c r="N13" t="n">
        <v>2300</v>
      </c>
      <c r="O13" t="n">
        <v>300</v>
      </c>
      <c r="P13" t="n">
        <v>0</v>
      </c>
      <c r="Q13" t="n">
        <v>0</v>
      </c>
      <c r="R13" t="n">
        <v>2600</v>
      </c>
      <c r="S13" t="inlineStr">
        <is>
          <t>-</t>
        </is>
      </c>
      <c r="T13" t="n">
        <v>0</v>
      </c>
      <c r="U13">
        <f>IF(AND(ISNUMBER(T13),ISNUMBER(N13),N13&lt;&gt;0),(T13-N13)/N13,"-")</f>
        <v/>
      </c>
      <c r="V13" t="n">
        <v>0</v>
      </c>
      <c r="W13">
        <f>IF(AND(ISNUMBER(V13),ISNUMBER(O13),O13&lt;&gt;0),(V13-O13)/O13,"-")</f>
        <v/>
      </c>
      <c r="X13" t="inlineStr">
        <is>
          <t>2024/10起全面临时停产(矿山/选厂/冶炼/精炼),2027年2月前复审;FY26仅2.3kt库存收尾</t>
        </is>
      </c>
      <c r="Y13" t="inlineStr">
        <is>
          <t>-</t>
        </is>
      </c>
      <c r="Z13" t="inlineStr">
        <is>
          <t>每年4.5亿澳元维持;下次更新窗口2026/8 FY26年报</t>
        </is>
      </c>
    </row>
    <row r="14">
      <c r="A14" t="inlineStr">
        <is>
          <t>总计</t>
        </is>
      </c>
      <c r="B14" t="inlineStr">
        <is>
          <t>-</t>
        </is>
      </c>
      <c r="C14" t="inlineStr">
        <is>
          <t>口径混杂仅供参考</t>
        </is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  <c r="S14" t="inlineStr">
        <is>
          <t>-</t>
        </is>
      </c>
      <c r="T14">
        <f>SUM(T2:T13)</f>
        <v/>
      </c>
      <c r="U14" t="inlineStr">
        <is>
          <t>-</t>
        </is>
      </c>
      <c r="V14">
        <f>SUM(V2:V13)</f>
        <v/>
      </c>
      <c r="W14" t="inlineStr">
        <is>
          <t>-</t>
        </is>
      </c>
    </row>
    <row r="16">
      <c r="A16" t="inlineStr">
        <is>
          <t>注：产量单位=吨镍；Ambatovy/Sherritt为中间品路线精镍；BHP/Sandouville已停产保留状态跟踪。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48" customWidth="1" min="24" max="24"/>
    <col width="24" customWidth="1" min="25" max="25"/>
    <col width="52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</row>
    <row r="2">
      <c r="A2" t="inlineStr">
        <is>
          <t>Vale</t>
        </is>
      </c>
      <c r="B2" t="inlineStr">
        <is>
          <t>巴西</t>
        </is>
      </c>
      <c r="C2" t="inlineStr">
        <is>
          <t>Onca Puma镍铁</t>
        </is>
      </c>
      <c r="D2" t="n">
        <v>4900</v>
      </c>
      <c r="E2" t="n">
        <v>5700</v>
      </c>
      <c r="F2" t="n">
        <v>5800</v>
      </c>
      <c r="G2" t="n">
        <v>600</v>
      </c>
      <c r="H2" t="n">
        <v>17000</v>
      </c>
      <c r="I2" t="n">
        <v>0</v>
      </c>
      <c r="J2" t="n">
        <v>3000</v>
      </c>
      <c r="K2" t="n">
        <v>6200</v>
      </c>
      <c r="L2" t="n">
        <v>4800</v>
      </c>
      <c r="M2" t="n">
        <v>14000</v>
      </c>
      <c r="N2" t="n">
        <v>5400</v>
      </c>
      <c r="O2" t="n">
        <v>4800</v>
      </c>
      <c r="P2" t="n">
        <v>5900</v>
      </c>
      <c r="Q2" t="n">
        <v>10000</v>
      </c>
      <c r="R2" t="n">
        <v>26100</v>
      </c>
      <c r="S2">
        <f>IF(AND(ISNUMBER(R14),ISNUMBER(M14),M14&lt;&gt;0),(R14-M14)/M14,"-")</f>
        <v/>
      </c>
      <c r="T2" t="n">
        <v>8900</v>
      </c>
      <c r="U2" t="inlineStr">
        <is>
          <t>-</t>
        </is>
      </c>
      <c r="V2" t="n">
        <v>9400</v>
      </c>
      <c r="W2" t="inlineStr">
        <is>
          <t>-</t>
        </is>
      </c>
      <c r="X2" t="inlineStr">
        <is>
          <t>26Q2 +95.8%:2号炉达满产,创历史最高Q2</t>
        </is>
      </c>
      <c r="Z2" t="inlineStr">
        <is>
          <t>23-25季度以源表为基准;25Q4=官方10000(2号炉满产)</t>
        </is>
      </c>
    </row>
    <row r="3">
      <c r="A3" t="inlineStr">
        <is>
          <t>Glencore</t>
        </is>
      </c>
      <c r="B3" t="inlineStr">
        <is>
          <t>新喀里多尼亚</t>
        </is>
      </c>
      <c r="C3" t="inlineStr">
        <is>
          <t>Koniambo(关停)</t>
        </is>
      </c>
      <c r="D3" t="n">
        <v>5000</v>
      </c>
      <c r="E3" t="n">
        <v>7700</v>
      </c>
      <c r="F3" t="n">
        <v>7100</v>
      </c>
      <c r="G3" t="n">
        <v>7400</v>
      </c>
      <c r="H3" t="n">
        <v>27200</v>
      </c>
      <c r="I3" t="n">
        <v>5000</v>
      </c>
      <c r="J3" t="n">
        <v>0</v>
      </c>
      <c r="K3" t="n">
        <v>0</v>
      </c>
      <c r="L3" t="n">
        <v>0</v>
      </c>
      <c r="M3" t="n">
        <v>5000</v>
      </c>
      <c r="N3" t="n">
        <v>0</v>
      </c>
      <c r="O3" t="n">
        <v>0</v>
      </c>
      <c r="P3" t="n">
        <v>0</v>
      </c>
      <c r="Q3" t="n">
        <v>0</v>
      </c>
      <c r="R3" t="inlineStr">
        <is>
          <t>-</t>
        </is>
      </c>
      <c r="S3" t="inlineStr">
        <is>
          <t>-</t>
        </is>
      </c>
      <c r="T3" t="n">
        <v>0</v>
      </c>
      <c r="U3">
        <f>IF(AND(ISNUMBER(T15),ISNUMBER(N15),N15&lt;&gt;0),(T15-N15)/N15,"-")</f>
        <v/>
      </c>
      <c r="V3" t="n">
        <v>0</v>
      </c>
      <c r="W3">
        <f>IF(AND(ISNUMBER(V15),ISNUMBER(O15),O15&lt;&gt;0),(V15-O15)/O15,"-")</f>
        <v/>
      </c>
      <c r="X3" t="inlineStr">
        <is>
          <t>2024/2转保养维护,2025起归零</t>
        </is>
      </c>
      <c r="Y3" t="inlineStr">
        <is>
          <t>-</t>
        </is>
      </c>
      <c r="Z3" t="inlineStr">
        <is>
          <t>2024基数含5000吨</t>
        </is>
      </c>
    </row>
    <row r="4">
      <c r="A4" t="inlineStr">
        <is>
          <t>Eramet</t>
        </is>
      </c>
      <c r="B4" t="inlineStr">
        <is>
          <t>新喀里多尼亚</t>
        </is>
      </c>
      <c r="C4" t="inlineStr">
        <is>
          <t>SLN镍铁(100%)</t>
        </is>
      </c>
      <c r="D4" t="n">
        <v>10600</v>
      </c>
      <c r="E4" t="n">
        <v>9700</v>
      </c>
      <c r="F4" t="n">
        <v>12800</v>
      </c>
      <c r="G4" t="n">
        <v>11700</v>
      </c>
      <c r="H4" t="n">
        <v>44800</v>
      </c>
      <c r="I4" t="n">
        <v>9100</v>
      </c>
      <c r="J4" t="n">
        <v>8300</v>
      </c>
      <c r="K4" t="n">
        <v>7800</v>
      </c>
      <c r="L4" t="n">
        <v>7700</v>
      </c>
      <c r="M4" t="n">
        <v>32900</v>
      </c>
      <c r="N4" t="n">
        <v>8700</v>
      </c>
      <c r="O4" t="n">
        <v>8800</v>
      </c>
      <c r="P4" t="n">
        <v>9200</v>
      </c>
      <c r="Q4" t="n">
        <v>9600</v>
      </c>
      <c r="R4" t="n">
        <v>36300</v>
      </c>
      <c r="S4" t="inlineStr">
        <is>
          <t>-</t>
        </is>
      </c>
      <c r="T4" t="n">
        <v>9300</v>
      </c>
      <c r="U4">
        <f>IF(AND(ISNUMBER(T16),ISNUMBER(N16),N16&lt;&gt;0),(T16-N16)/N16,"-")</f>
        <v/>
      </c>
      <c r="V4" t="n">
        <v>8800</v>
      </c>
      <c r="W4" t="inlineStr">
        <is>
          <t>-</t>
        </is>
      </c>
      <c r="X4" t="inlineStr">
        <is>
          <t>26Q2 SLN 镍铁 8.8kt-Ni（环比-5%/同比持平）；H1 18.1kt（+3%）；现金成本 $8.5/lb（+6%，能源成本）。源：Eramet H1 2026 业绩附录 8（7/29）</t>
        </is>
      </c>
      <c r="Z4" t="inlineStr">
        <is>
          <t>现金成本$8.2/lb(26Q1);SLN不再并入集团关键指标,附录单列</t>
        </is>
      </c>
    </row>
    <row r="5">
      <c r="A5" t="inlineStr">
        <is>
          <t>Eramet</t>
        </is>
      </c>
      <c r="B5" t="inlineStr">
        <is>
          <t>印尼</t>
        </is>
      </c>
      <c r="C5" t="inlineStr">
        <is>
          <t>Weda Bay NPI(100%)</t>
        </is>
      </c>
      <c r="D5" t="n">
        <v>7800</v>
      </c>
      <c r="E5" t="n">
        <v>7900</v>
      </c>
      <c r="F5" t="n">
        <v>9000</v>
      </c>
      <c r="G5" t="n">
        <v>8700</v>
      </c>
      <c r="H5" t="n">
        <v>33400</v>
      </c>
      <c r="I5" t="n">
        <v>7400</v>
      </c>
      <c r="J5" t="n">
        <v>6600</v>
      </c>
      <c r="K5" t="n">
        <v>7400</v>
      </c>
      <c r="L5" t="n">
        <v>9100</v>
      </c>
      <c r="M5" t="n">
        <v>30500</v>
      </c>
      <c r="N5" t="n">
        <v>9100</v>
      </c>
      <c r="O5" t="n">
        <v>7900</v>
      </c>
      <c r="P5" t="n">
        <v>9400</v>
      </c>
      <c r="Q5" t="n">
        <v>9400</v>
      </c>
      <c r="R5" t="n">
        <v>35800</v>
      </c>
      <c r="S5" t="inlineStr">
        <is>
          <t>-</t>
        </is>
      </c>
      <c r="T5" t="n">
        <v>9000</v>
      </c>
      <c r="U5" t="inlineStr">
        <is>
          <t>-</t>
        </is>
      </c>
      <c r="V5" t="n">
        <v>7700</v>
      </c>
      <c r="W5" t="inlineStr">
        <is>
          <t>-</t>
        </is>
      </c>
      <c r="X5" t="inlineStr">
        <is>
          <t>26Q2 Weda Bay NPI 推算 7.7kt-Ni = H1 16.7kt（-2%）− Q1 9.0kt；RKAB 仅批 12Mwmt（-70%），4 月即用磬额度进入养护状态，NPI 厂靠库存维持。源：Eramet H1 2026（7/29）</t>
        </is>
      </c>
      <c r="Y5" t="inlineStr">
        <is>
          <t>无正式产量指引（RKAB 外销限 9Mwmt，申请上调中）</t>
        </is>
      </c>
      <c r="Z5" t="inlineStr">
        <is>
          <t>Eramet权益38.7%,产量100%口径;2025 +17%靠RKAB上调冲量(品位-13%)｜23-25季度以源表为基准(与官方FY一致)</t>
        </is>
      </c>
    </row>
    <row r="6">
      <c r="A6" t="inlineStr">
        <is>
          <t>South32</t>
        </is>
      </c>
      <c r="B6" t="inlineStr">
        <is>
          <t>哥伦比亚</t>
        </is>
      </c>
      <c r="C6" t="inlineStr">
        <is>
          <t>Cerro Matoso(99.9%权益)</t>
        </is>
      </c>
      <c r="D6" t="n">
        <v>10200</v>
      </c>
      <c r="E6" t="n">
        <v>10200</v>
      </c>
      <c r="F6" t="n">
        <v>8300</v>
      </c>
      <c r="G6" t="n">
        <v>10000</v>
      </c>
      <c r="H6" t="n">
        <v>38700</v>
      </c>
      <c r="I6" t="n">
        <v>10800</v>
      </c>
      <c r="J6" t="n">
        <v>11500</v>
      </c>
      <c r="K6" t="n">
        <v>8600</v>
      </c>
      <c r="L6" t="n">
        <v>9900</v>
      </c>
      <c r="M6" t="n">
        <v>40800</v>
      </c>
      <c r="N6" t="n">
        <v>8900</v>
      </c>
      <c r="O6" t="n">
        <v>9700</v>
      </c>
      <c r="P6" t="n">
        <v>9400</v>
      </c>
      <c r="Q6" t="n">
        <v>5600</v>
      </c>
      <c r="R6" t="n">
        <v>37100</v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已于2025/12/1完成出售给CoreX,South32退出镍业务;25Q4仅含10-11月</t>
        </is>
      </c>
      <c r="Y6" t="inlineStr">
        <is>
          <t>-</t>
        </is>
      </c>
      <c r="Z6" t="inlineStr">
        <is>
          <t>2026起不再披露;后续只能跟CoreX/哥伦比亚ANM统计</t>
        </is>
      </c>
    </row>
    <row r="7">
      <c r="A7" t="inlineStr">
        <is>
          <t>Anglo American</t>
        </is>
      </c>
      <c r="B7" t="inlineStr">
        <is>
          <t>巴西</t>
        </is>
      </c>
      <c r="C7" t="inlineStr">
        <is>
          <t>Barro Alto+Codemin镍铁</t>
        </is>
      </c>
      <c r="D7" t="n">
        <v>9700</v>
      </c>
      <c r="E7" t="n">
        <v>9900</v>
      </c>
      <c r="F7" t="n">
        <v>9300</v>
      </c>
      <c r="G7" t="n">
        <v>11100</v>
      </c>
      <c r="H7" t="n">
        <v>40000</v>
      </c>
      <c r="I7" t="n">
        <v>9500</v>
      </c>
      <c r="J7" t="n">
        <v>10000</v>
      </c>
      <c r="K7" t="n">
        <v>9900</v>
      </c>
      <c r="L7" t="n">
        <v>10000</v>
      </c>
      <c r="M7" t="n">
        <v>39400</v>
      </c>
      <c r="N7" t="n">
        <v>9800</v>
      </c>
      <c r="O7" t="n">
        <v>9500</v>
      </c>
      <c r="P7" t="n">
        <v>10100</v>
      </c>
      <c r="Q7" t="n">
        <v>10300</v>
      </c>
      <c r="R7" t="n">
        <v>39700</v>
      </c>
      <c r="S7">
        <f>IF(AND(ISNUMBER(R19),ISNUMBER(M19),M19&lt;&gt;0),(R19-M19)/M19,"-")</f>
        <v/>
      </c>
      <c r="T7" t="n">
        <v>9100</v>
      </c>
      <c r="U7">
        <f>IF(AND(ISNUMBER(T19),ISNUMBER(N19),N19&lt;&gt;0),(T19-N19)/N19,"-")</f>
        <v/>
      </c>
      <c r="V7" t="n">
        <v>9100</v>
      </c>
      <c r="W7">
        <f>IF(AND(ISNUMBER(V19),ISNUMBER(O19),O19&lt;&gt;0),(V19-O19)/O19,"-")</f>
        <v/>
      </c>
      <c r="X7" t="inlineStr">
        <is>
          <t>26Q2 -4%:下半年检修提前;Q3起回升。已签约卖给MMG,卡在欧盟反垄断审批,交割后数据源切MMG(1208.HK)季报</t>
        </is>
      </c>
      <c r="Y7" t="inlineStr">
        <is>
          <t>不再提供(列为退出业务)</t>
        </is>
      </c>
      <c r="Z7" t="inlineStr">
        <is>
          <t>100%口径吨镍含量;2024=39400｜23-24=Barro Alto+Codemin合计(源表);25按Anglo官方季报</t>
        </is>
      </c>
    </row>
    <row r="8">
      <c r="A8" t="inlineStr">
        <is>
          <t>住友金属矿山</t>
        </is>
      </c>
      <c r="B8" t="inlineStr">
        <is>
          <t>日本</t>
        </is>
      </c>
      <c r="C8" t="inlineStr">
        <is>
          <t>Hyuga镍铁</t>
        </is>
      </c>
      <c r="D8" t="n">
        <v>2300</v>
      </c>
      <c r="E8" t="n">
        <v>1900</v>
      </c>
      <c r="F8" t="n">
        <v>1000</v>
      </c>
      <c r="G8" t="n">
        <v>1300</v>
      </c>
      <c r="H8" t="n">
        <v>6500</v>
      </c>
      <c r="I8" t="n">
        <v>600</v>
      </c>
      <c r="J8" t="n">
        <v>1000</v>
      </c>
      <c r="K8" t="n">
        <v>700</v>
      </c>
      <c r="L8" t="n">
        <v>500</v>
      </c>
      <c r="M8" t="n">
        <v>2800</v>
      </c>
      <c r="N8" t="n">
        <v>1100</v>
      </c>
      <c r="O8" t="n">
        <v>1300</v>
      </c>
      <c r="P8" t="n">
        <v>1600</v>
      </c>
      <c r="Q8" t="n">
        <v>1000</v>
      </c>
      <c r="R8" t="n">
        <v>3900</v>
      </c>
      <c r="S8" t="inlineStr">
        <is>
          <t>-</t>
        </is>
      </c>
      <c r="T8" t="n">
        <v>900</v>
      </c>
      <c r="U8" t="inlineStr">
        <is>
          <t>-</t>
        </is>
      </c>
      <c r="V8" t="n">
        <v>1000</v>
      </c>
      <c r="W8" t="inlineStr">
        <is>
          <t>-</t>
        </is>
      </c>
      <c r="X8" t="inlineStr">
        <is>
          <t>26Q2(=FY2026Q1,4-6月)Hyuga水淬镍1,000吨镍(Q1=900);决算8/7已发。源:Mysteel镍早读2026-08-19+铁合金在线2026-08-12</t>
        </is>
      </c>
      <c r="Y8" t="inlineStr">
        <is>
          <t>FY26镍铁4500吨</t>
        </is>
      </c>
      <c r="Z8" t="inlineStr">
        <is>
          <t>26Q2已入库(2026-08-31):1,000吨镍,与合计行勾稽(15,100+3,700+1,000=19,900)</t>
        </is>
      </c>
    </row>
    <row r="9">
      <c r="A9" t="inlineStr">
        <is>
          <t>Antam</t>
        </is>
      </c>
      <c r="B9" t="inlineStr">
        <is>
          <t>印尼</t>
        </is>
      </c>
      <c r="C9" t="inlineStr">
        <is>
          <t>镍铁(吨镍)</t>
        </is>
      </c>
      <c r="D9" t="n">
        <v>5437</v>
      </c>
      <c r="E9" t="n">
        <v>5100</v>
      </c>
      <c r="F9" t="n">
        <v>5250</v>
      </c>
      <c r="G9" t="n">
        <v>5686</v>
      </c>
      <c r="H9" t="n">
        <v>21473</v>
      </c>
      <c r="I9" t="n">
        <v>4789</v>
      </c>
      <c r="J9" t="n">
        <v>5100</v>
      </c>
      <c r="K9" t="n">
        <v>5250</v>
      </c>
      <c r="L9" t="n">
        <v>5000</v>
      </c>
      <c r="M9" t="n">
        <v>20139</v>
      </c>
      <c r="N9" t="n">
        <v>4498</v>
      </c>
      <c r="O9" t="n">
        <v>4569</v>
      </c>
      <c r="P9" t="n">
        <v>4242</v>
      </c>
      <c r="Q9" t="n">
        <v>2755</v>
      </c>
      <c r="R9" t="n">
        <v>16064</v>
      </c>
      <c r="S9">
        <f>IF(AND(ISNUMBER(R21),ISNUMBER(M21),M21&lt;&gt;0),(R21-M21)/M21,"-")</f>
        <v/>
      </c>
      <c r="T9" t="n">
        <v>3976</v>
      </c>
      <c r="U9" t="inlineStr">
        <is>
          <t>-</t>
        </is>
      </c>
      <c r="V9" t="n">
        <v>3812</v>
      </c>
      <c r="W9" t="inlineStr">
        <is>
          <t>-</t>
        </is>
      </c>
      <c r="X9" t="inlineStr">
        <is>
          <t>26Q2 镍铁推算 3,812 TNi = H1 7,788 TNi（Petromindo）− Q1 3,976；Q2 镍铁销量 4,802 TNi（+420% 低基数）。源：Petromindo 2026-07-31 + indonesiaminer 8/3</t>
        </is>
      </c>
      <c r="Y9" t="inlineStr">
        <is>
          <t>镍铁18367吨镍;镍矿约1600万wmt</t>
        </is>
      </c>
      <c r="Z9" t="inlineStr">
        <is>
          <t>2024=20103/2025=16064(-20%);另有镍矿1611万wmt(2025,+62%)｜23-25季度以源表为基准(与官方FY一致)</t>
        </is>
      </c>
    </row>
    <row r="10">
      <c r="A10" t="inlineStr">
        <is>
          <t>Nickel Industries</t>
        </is>
      </c>
      <c r="B10" t="inlineStr">
        <is>
          <t>印尼</t>
        </is>
      </c>
      <c r="C10" t="inlineStr">
        <is>
          <t>RKEF镍金属(100%)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30098</v>
      </c>
      <c r="J10" t="n">
        <v>31975</v>
      </c>
      <c r="K10" t="n">
        <v>30663</v>
      </c>
      <c r="L10" t="n">
        <v>32785</v>
      </c>
      <c r="M10" t="n">
        <v>125521</v>
      </c>
      <c r="N10" t="n">
        <v>31793</v>
      </c>
      <c r="O10" t="n">
        <v>30464</v>
      </c>
      <c r="P10" t="n">
        <v>31149</v>
      </c>
      <c r="Q10" t="n">
        <v>31561</v>
      </c>
      <c r="R10" t="n">
        <v>124967</v>
      </c>
      <c r="S10" t="inlineStr">
        <is>
          <t>-</t>
        </is>
      </c>
      <c r="T10" t="n">
        <v>30264</v>
      </c>
      <c r="U10">
        <f>IF(AND(ISNUMBER(T22),ISNUMBER(N22),N22&lt;&gt;0),(T22-N22)/N22,"-")</f>
        <v/>
      </c>
      <c r="V10" t="n">
        <v>27864</v>
      </c>
      <c r="W10" t="inlineStr">
        <is>
          <t>-</t>
        </is>
      </c>
      <c r="X10" t="inlineStr">
        <is>
          <t>26Q2 RKEF 27,864吨(-8% QoQ,HNI 6月底一条线大修4个月)；NPI品位11.3%；合同价$14,522/t(+10%)</t>
        </is>
      </c>
      <c r="Y10" t="inlineStr">
        <is>
          <t>无RKEF指引;Hengjaya矿RKAB 1900万wmt</t>
        </is>
      </c>
      <c r="Z10" t="inlineStr">
        <is>
          <t>权益80%;2025成品镍权益口径(NPI+MHP)133469吨;matte产线已转回NPI;25Q1由同比反推｜24-25Q3源自镍季度生产报告;25Q4=官方31561(源表23057疑为笔误);25总计124967为四季加总</t>
        </is>
      </c>
    </row>
    <row r="11">
      <c r="A11" t="inlineStr">
        <is>
          <t>Merdeka(MBMA)</t>
        </is>
      </c>
      <c r="B11" t="inlineStr">
        <is>
          <t>印尼</t>
        </is>
      </c>
      <c r="C11" t="inlineStr">
        <is>
          <t>NPI(吨镍)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20900</v>
      </c>
      <c r="J11" t="n">
        <v>21882</v>
      </c>
      <c r="K11" t="n">
        <v>20557</v>
      </c>
      <c r="L11" t="n">
        <v>18823</v>
      </c>
      <c r="M11" t="n">
        <v>82162</v>
      </c>
      <c r="N11" t="n">
        <v>16297</v>
      </c>
      <c r="O11" t="n">
        <v>16748</v>
      </c>
      <c r="P11" t="n">
        <v>19819</v>
      </c>
      <c r="Q11" t="n">
        <v>21008</v>
      </c>
      <c r="R11" t="n">
        <v>73871</v>
      </c>
      <c r="S11" t="inlineStr">
        <is>
          <t>-</t>
        </is>
      </c>
      <c r="T11" t="n">
        <v>19990</v>
      </c>
      <c r="U11" t="inlineStr">
        <is>
          <t>-</t>
        </is>
      </c>
      <c r="V11" t="n">
        <v>19505</v>
      </c>
      <c r="W11" t="inlineStr">
        <is>
          <t>-</t>
        </is>
      </c>
      <c r="X11" t="inlineStr">
        <is>
          <t>26Q2 NPI（含 LGNM）19,505 tNi（+16% YoY）；SCM 矿石放量（SAP +130%/LIM +87%）；现金 margin $1,981/tNi（+11%）。FY26 指引：NPI 70-80kt。源：MBMA Q2 2026 运营公告（KONTAN 8/3）</t>
        </is>
      </c>
      <c r="Y11" t="inlineStr">
        <is>
          <t>NPI 7-8万吨/高冰镍4.4-4.8万吨/MHP 2.7-3万吨</t>
        </is>
      </c>
      <c r="Z11" t="inlineStr">
        <is>
          <t>2025 -10%:两条RKEF线大修;SCM矿2026目标100%自给｜24-25季度以源表为基准(与官方FY 73871基本一致)</t>
        </is>
      </c>
    </row>
    <row r="12">
      <c r="A12" t="inlineStr">
        <is>
          <t>Harita Nickel (TBP)</t>
        </is>
      </c>
      <c r="B12" t="inlineStr">
        <is>
          <t>印尼</t>
        </is>
      </c>
      <c r="C12" t="inlineStr">
        <is>
          <t>Obi岛RKEF NPI（镍金属量）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>
        <f>IF(AND(ISNUMBER(R12),ISNUMBER(M12),M12&lt;&gt;0),(R12-M12)/M12,"-")</f>
        <v/>
      </c>
      <c r="T12" t="inlineStr">
        <is>
          <t>-</t>
        </is>
      </c>
      <c r="U12">
        <f>IF(AND(ISNUMBER(T12),ISNUMBER(N12),N12&lt;&gt;0),(T12-N12)/N12,"-")</f>
        <v/>
      </c>
      <c r="V12" t="inlineStr">
        <is>
          <t>-</t>
        </is>
      </c>
      <c r="W12">
        <f>IF(AND(ISNUMBER(V12),ISNUMBER(O12),O12&lt;&gt;0),(V12-O12)/O12,"-")</f>
        <v/>
      </c>
      <c r="X12" t="inlineStr">
        <is>
          <t>1H26中报已发(8/1),产量吨数未获取(官方简报PDF 12MB多次下载超时待补);HPAL销量H1=59,272吨镍(HPL+ONC)、FeNi销量同比+37%(无绝对值)、KPS三期建成新增6.5万吨镍/年产能→26Q2记-</t>
        </is>
      </c>
      <c r="Z12" t="inlineStr">
        <is>
          <t>季报（IDX）≈季后1个月；补印尼RKEF链缺口；2026-08-18新增骨架行，数据待回填｜2026-08-31核:1H26中报已发,产量待补(PDF下载失败);HPAL销量H1=59,272吨镍</t>
        </is>
      </c>
    </row>
    <row r="13">
      <c r="A13" t="inlineStr">
        <is>
          <t>Nickel Asia (NAC)</t>
        </is>
      </c>
      <c r="B13" t="inlineStr">
        <is>
          <t>菲律宾</t>
        </is>
      </c>
      <c r="C13" t="inlineStr">
        <is>
          <t>红土镍矿销量（万湿吨，矿石口径非镍金属量）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>
        <f>IF(AND(ISNUMBER(R13),ISNUMBER(M13),M13&lt;&gt;0),(R13-M13)/M13,"-")</f>
        <v/>
      </c>
      <c r="T13" t="n">
        <v>432.5</v>
      </c>
      <c r="U13">
        <f>IF(AND(ISNUMBER(T13),ISNUMBER(N13),N13&lt;&gt;0),(T13-N13)/N13,"-")</f>
        <v/>
      </c>
      <c r="V13" t="n">
        <v>432.5</v>
      </c>
      <c r="W13">
        <f>IF(AND(ISNUMBER(V13),ISNUMBER(O13),O13&lt;&gt;0),(V13-O13)/O13,"-")</f>
        <v/>
      </c>
      <c r="X13" t="inlineStr">
        <is>
          <t>H1 2026镍矿销量865万湿吨(+10%),26Q1/26Q2各432.5万湿吨(H1/2拟合,Q1未单独披露);归母净利P4.06bn(+93%)。源:NAC H1 2026业绩(philippine-resources 8/7+insiderph 8/6双源核)</t>
        </is>
      </c>
      <c r="Z13" t="inlineStr">
        <is>
          <t>季报（PSE）；菲律宾红土镍矿供应缺口；⚠矿石口径与板块金属量不同维，总计行勿加；2026-08-18新增骨架行，数据待回填｜2026-08-31核:865万湿吨与行口径(矿石销量万湿吨)一致,非金属量;两季平分拟合</t>
        </is>
      </c>
    </row>
    <row r="14">
      <c r="A14" t="inlineStr">
        <is>
          <t>总计</t>
        </is>
      </c>
      <c r="B14" t="inlineStr">
        <is>
          <t>-</t>
        </is>
      </c>
      <c r="C14" t="inlineStr">
        <is>
          <t>口径混杂仅供参考</t>
        </is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  <c r="S14" t="inlineStr">
        <is>
          <t>-</t>
        </is>
      </c>
      <c r="T14">
        <f>SUM(T2:T13)</f>
        <v/>
      </c>
      <c r="U14" t="inlineStr">
        <is>
          <t>-</t>
        </is>
      </c>
      <c r="V14">
        <f>SUM(V2:V13)</f>
        <v/>
      </c>
      <c r="W14" t="inlineStr">
        <is>
          <t>-</t>
        </is>
      </c>
    </row>
    <row r="16">
      <c r="A16" t="inlineStr">
        <is>
          <t>注：产量单位=吨镍(金属量)；South32已出售、Anglo待售MMG、Koniambo关停——存量退出进行时，边际增量全在印尼。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48" customWidth="1" min="24" max="24"/>
    <col width="24" customWidth="1" min="25" max="25"/>
    <col width="52" customWidth="1" min="26" max="26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项目/口径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备注</t>
        </is>
      </c>
    </row>
    <row r="2">
      <c r="A2" t="inlineStr">
        <is>
          <t>Vale(PTVI)</t>
        </is>
      </c>
      <c r="B2" t="inlineStr">
        <is>
          <t>印尼</t>
        </is>
      </c>
      <c r="C2" t="inlineStr">
        <is>
          <t>Sorowako镍锍(80%包销)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15000</v>
      </c>
      <c r="R2" t="n">
        <v>54700</v>
      </c>
      <c r="S2" t="inlineStr">
        <is>
          <t>-</t>
        </is>
      </c>
      <c r="T2" t="n">
        <v>14500</v>
      </c>
      <c r="U2" t="inlineStr">
        <is>
          <t>-</t>
        </is>
      </c>
      <c r="V2" t="n">
        <v>11400</v>
      </c>
      <c r="W2" t="inlineStr">
        <is>
          <t>-</t>
        </is>
      </c>
      <c r="X2" t="inlineStr">
        <is>
          <t>26Q2环比-21%:Sorowako炉子检修;2026镍锍目标67645吨(-6%)</t>
        </is>
      </c>
      <c r="Y2" t="inlineStr">
        <is>
          <t>镍锍67645吨(100%)</t>
        </is>
      </c>
      <c r="Z2" t="inlineStr">
        <is>
          <t>PTVI自3Q24起不再100%并表,按80%offtake入表;100%口径≈offtake/0.8(推算);3Q25 100%口径19391吨</t>
        </is>
      </c>
    </row>
    <row r="3">
      <c r="A3" t="inlineStr">
        <is>
          <t>Merdeka(MBMA)</t>
        </is>
      </c>
      <c r="B3" t="inlineStr">
        <is>
          <t>印尼</t>
        </is>
      </c>
      <c r="C3" t="inlineStr">
        <is>
          <t>高冰镍HGNM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10473</v>
      </c>
      <c r="R3" t="n">
        <v>19998</v>
      </c>
      <c r="S3" t="inlineStr">
        <is>
          <t>-</t>
        </is>
      </c>
      <c r="T3" t="n">
        <v>10361</v>
      </c>
      <c r="U3" t="inlineStr">
        <is>
          <t>-</t>
        </is>
      </c>
      <c r="V3" t="n">
        <v>9165</v>
      </c>
      <c r="W3" t="inlineStr">
        <is>
          <t>-</t>
        </is>
      </c>
      <c r="X3" t="inlineStr">
        <is>
          <t>26Q2 HGNM 高冰镍 9,165 tNiEq（-12% QoQ，销量 10,457 tNiEq +30%；ASP $15,811/tNi，现金成本 $16,354/tNi，单吨转负 margin -$542）；同季报：NPI 19,505 tNi（+16% YoY）、PT ESG MHP 4,831 吨镍（8 月目标达产）、SLNC 9 万吨 HPAL 在建。源：MBMA Q2 2026 Quarterly Activities Report（merdekabattery.com，2026-08-01）；8/24 仅据 KONTAN 综述误标'未找到'，本次按官方原文更正</t>
        </is>
      </c>
      <c r="Y3" t="inlineStr">
        <is>
          <t>4.4-4.8万吨</t>
        </is>
      </c>
      <c r="Z3" t="inlineStr">
        <is>
          <t>2025=19998略低于指引(2-2.5万吨);SLNC 9万吨HPAL首线2026H2投产</t>
        </is>
      </c>
    </row>
    <row r="4">
      <c r="A4" t="inlineStr">
        <is>
          <t>Nickel Industries</t>
        </is>
      </c>
      <c r="B4" t="inlineStr">
        <is>
          <t>印尼</t>
        </is>
      </c>
      <c r="C4" t="inlineStr">
        <is>
          <t>HNC MHP镍(100%)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21441</v>
      </c>
      <c r="R4" t="n">
        <v>21441</v>
      </c>
      <c r="S4" t="inlineStr">
        <is>
          <t>-</t>
        </is>
      </c>
      <c r="T4" t="n">
        <v>21526</v>
      </c>
      <c r="U4" t="inlineStr">
        <is>
          <t>-</t>
        </is>
      </c>
      <c r="V4" t="n">
        <v>19646</v>
      </c>
      <c r="W4" t="inlineStr">
        <is>
          <t>-</t>
        </is>
      </c>
      <c r="X4" t="inlineStr">
        <is>
          <t>26Q2=19,646吨镍（推算：H1'26 官方 41,172 − Q1 官方 21,526；半年报 Directors' Report 披露）；Q2 季报仅直接披露销量（权益口径 1.8ktNi，总销量约 1.8 万吨）；HNC EBITDA $14.4m、首次分红 $3.5m；ENC 7 月产出首批 MHP（权益 46%）。源：NIC H1'26  interim report + Q2'26 Quarterly Activities Report（7/29）</t>
        </is>
      </c>
      <c r="Y4" t="inlineStr">
        <is>
          <t>HNC按约8.4万吨/年运行</t>
        </is>
      </c>
      <c r="Z4" t="inlineStr">
        <is>
          <t>权益仅10%；另有钴(26Q1=2,370吨)；26Q2=19,646为官方 H1−Q1 推算值（2026-10-14入库）；26Q1 同比公式引用基准列为'-'故同比显示-</t>
        </is>
      </c>
    </row>
    <row r="5">
      <c r="A5" t="inlineStr">
        <is>
          <t>华友钴业</t>
        </is>
      </c>
      <c r="B5" t="inlineStr">
        <is>
          <t>印尼/中国</t>
        </is>
      </c>
      <c r="C5" t="inlineStr">
        <is>
          <t>镍产品(MHP为主+高冰镍)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n">
        <v>287000</v>
      </c>
      <c r="S5" t="inlineStr">
        <is>
          <t>-</t>
        </is>
      </c>
      <c r="T5" t="inlineStr">
        <is>
          <t>未披露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2026中报已披露(8月),未披露镍产量吨数→26Q2记-;华飞12万吨HPAL 2026/4起停产检修仍拖累</t>
        </is>
      </c>
      <c r="Y5" t="inlineStr">
        <is>
          <t>无官方指引(券商估权益约13万吨)</t>
        </is>
      </c>
      <c r="Z5" t="inlineStr">
        <is>
          <t>A股季报不披露产量;100%项目口径,权益约13-16.5万吨(券商估)｜2025年报：镍产品毛利率19.7%(-7.4pct)、镍中间品19.0%(-2.9pct，镍价跌+硫磺涨)；经营现金流40.1亿(-68%，主动囤货)vs净利61.1亿；capex 106.6亿(+59%)｜2026中报已披露(8月),未披露镍产量吨数(2026-08-31核)</t>
        </is>
      </c>
    </row>
    <row r="6">
      <c r="A6" t="inlineStr">
        <is>
          <t>中伟股份</t>
        </is>
      </c>
      <c r="B6" t="inlineStr">
        <is>
          <t>印尼</t>
        </is>
      </c>
      <c r="C6" t="inlineStr">
        <is>
          <t>冰镍+电解镍(权益·券商测算)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n">
        <v>100000</v>
      </c>
      <c r="S6" t="inlineStr">
        <is>
          <t>-</t>
        </is>
      </c>
      <c r="T6" t="n">
        <v>30000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中报(8/25)仅披露新能源金属(镍产品)板块口径H1=126,081.84金吨(利用率92.03%),为电解镍/高冰镍/镍铁灵活切换的板块合计,非MHP/高冰镍中间品口径,与本行口径不符不入库→26Q2记-</t>
        </is>
      </c>
      <c r="Y6" t="inlineStr">
        <is>
          <t>券商预计权益出货12万吨+镍矿3万吨</t>
        </is>
      </c>
      <c r="Z6" t="inlineStr">
        <is>
          <t>官方未给单一产量数;25权益出货约10万吨/26Q1约3万吨均为东吴测算,规划产能19.5万金吨｜2025年报(H股口径)：新能源金属产品收入178亿(+32%)，产21.77万/销23.25万金吨(+41%/+58%)，产能利用率91.2%；毛利率未单列(定性盈利有限)｜2026中报已发(8/25),板块口径H1=126,081.84金吨非中间品口径不入库(2026-08-31核)</t>
        </is>
      </c>
    </row>
    <row r="7">
      <c r="A7" t="inlineStr">
        <is>
          <t>格林美</t>
        </is>
      </c>
      <c r="B7" t="inlineStr">
        <is>
          <t>印尼</t>
        </is>
      </c>
      <c r="C7" t="inlineStr">
        <is>
          <t>MHP出货(含参股)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n">
        <v>110839</v>
      </c>
      <c r="S7" t="inlineStr">
        <is>
          <t>-</t>
        </is>
      </c>
      <c r="T7" t="n">
        <v>13895</v>
      </c>
      <c r="U7" t="inlineStr">
        <is>
          <t>-</t>
        </is>
      </c>
      <c r="V7" t="n">
        <v>13895</v>
      </c>
      <c r="W7" t="inlineStr">
        <is>
          <t>-</t>
        </is>
      </c>
      <c r="X7" t="inlineStr">
        <is>
          <t>中报(8/27):海外镍项目(MHP)H1镍产出27,790吨(含参股产能口径,同比-37%,为计划量40%)→26Q1=26Q2=13,895(H1/2拟合);2H26公司计划65,000吨</t>
        </is>
      </c>
      <c r="Y7" t="inlineStr">
        <is>
          <t>2026年15万吨/年满产</t>
        </is>
      </c>
      <c r="Z7" t="inlineStr">
        <is>
          <t>出货口径含参股;26Q1「近2万吨」为自媒体口径慎用｜修正为年报精确值110,839吨(+114%)；2025镍资源板块收入73.29亿(+25.3%)、毛利率18.13%；有息负债超300亿(资产负债率65.8%)｜2026-08-31入库:H1累计27,790吨含参股口径,Q1未披露,两季平分拟合;2H26计划65,000吨</t>
        </is>
      </c>
    </row>
    <row r="8">
      <c r="A8" t="inlineStr">
        <is>
          <t>力勤资源</t>
        </is>
      </c>
      <c r="B8" t="inlineStr">
        <is>
          <t>印尼</t>
        </is>
      </c>
      <c r="C8" t="inlineStr">
        <is>
          <t>Obi HPAL MHP+RKEF镍铁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港股无季报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2026中期业绩已披露(8/27,港交所),未披露Obi HPAL/镍铁产量或销量吨数(惯例如此);产能锚点总40万镍金属吨,KPS 12条线8/1全面达产、湿法满产→26Q2记-</t>
        </is>
      </c>
      <c r="Y8" t="inlineStr">
        <is>
          <t>湿法13万吨+火法17万吨(2025计划口径)</t>
        </is>
      </c>
      <c r="Z8" t="inlineStr">
        <is>
          <t>年报仅销量/产能口径:MHP销量47.16万湿吨(+122%),镍铁69.81万实物吨;产量金属吨未直接披露｜2025年报：湿法(镍钴化合物)毛利率39.3%(-3.5pct，硫磺涨价)、火法镍铁14.6%(收入+406%以量补价)；汇兑亏损4.51亿+支柱二补税4.05亿；MHP 47.16万湿吨≈折镍8-9万金属吨(与12万吨产能满产勾稽一致)｜2026中期业绩已披露(8/27)未披露产量吨数;产能锚点40万金吨镍,KPS 8/1全面达产(2026-08-31核)</t>
        </is>
      </c>
    </row>
    <row r="9">
      <c r="A9" t="inlineStr">
        <is>
          <t>Sherritt</t>
        </is>
      </c>
      <c r="B9" t="inlineStr">
        <is>
          <t>古巴</t>
        </is>
      </c>
      <c r="C9" t="inlineStr">
        <is>
          <t>Moa MSP(50%份额)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2535</v>
      </c>
      <c r="R9" t="n">
        <v>12650</v>
      </c>
      <c r="S9" t="inlineStr">
        <is>
          <t>-</t>
        </is>
      </c>
      <c r="T9" t="n">
        <v>1811</v>
      </c>
      <c r="U9" t="inlineStr">
        <is>
          <t>-</t>
        </is>
      </c>
      <c r="V9" t="n">
        <v>934</v>
      </c>
      <c r="W9" t="inlineStr">
        <is>
          <t>-</t>
        </is>
      </c>
      <c r="X9" t="inlineStr">
        <is>
          <t>26Q2 Moa MSP 权益产量 934 吨（古巴燃料/物资受限，停产检修）；权益口径（50%）。源：Sherritt Q2 2026（8/12）+华西证券点评</t>
        </is>
      </c>
      <c r="Y9" t="inlineStr">
        <is>
          <t>指引暂停(原MSP 3-3.2万吨·100%)</t>
        </is>
      </c>
      <c r="Z9" t="inlineStr">
        <is>
          <t>100%口径2025=25300(12650×2推算)</t>
        </is>
      </c>
    </row>
    <row r="10">
      <c r="A10" t="inlineStr">
        <is>
          <t>Harita Nickel (TBP)</t>
        </is>
      </c>
      <c r="B10" t="inlineStr">
        <is>
          <t>印尼</t>
        </is>
      </c>
      <c r="C10" t="inlineStr">
        <is>
          <t>Obi岛HPAL MHP（HJF/ONC，镍金属量）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>
        <f>IF(AND(ISNUMBER(R10),ISNUMBER(M10),M10&lt;&gt;0),(R10-M10)/M10,"-")</f>
        <v/>
      </c>
      <c r="T10" t="inlineStr">
        <is>
          <t>-</t>
        </is>
      </c>
      <c r="U10">
        <f>IF(AND(ISNUMBER(T10),ISNUMBER(N10),N10&lt;&gt;0),(T10-N10)/N10,"-")</f>
        <v/>
      </c>
      <c r="V10" t="inlineStr">
        <is>
          <t>-</t>
        </is>
      </c>
      <c r="W10">
        <f>IF(AND(ISNUMBER(V10),ISNUMBER(O10),O10&lt;&gt;0),(V10-O10)/O10,"-")</f>
        <v/>
      </c>
      <c r="X10" t="inlineStr">
        <is>
          <t>1H26中报已发(8/1),HPAL产量吨数未获取(官方PDF下载失败待补);HPAL销量H1=59,272吨镍(HPL+ONC)→26Q2记-</t>
        </is>
      </c>
      <c r="Z10" t="inlineStr">
        <is>
          <t>季报（IDX）≈季后1个月；补印尼HPAL链缺口；与NPI行同公司不同板块；2026-08-18新增骨架行，数据待回填｜2026-08-31核:1H26中报已发,产量待补;HPAL销量H1=59,272吨镍</t>
        </is>
      </c>
    </row>
    <row r="11">
      <c r="A11" t="inlineStr">
        <is>
          <t>总计</t>
        </is>
      </c>
      <c r="B11" t="inlineStr">
        <is>
          <t>-</t>
        </is>
      </c>
      <c r="C11" t="inlineStr">
        <is>
          <t>口径混杂仅供参考</t>
        </is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  <c r="I11">
        <f>SUM(I2:I10)</f>
        <v/>
      </c>
      <c r="J11">
        <f>SUM(J2:J10)</f>
        <v/>
      </c>
      <c r="K11">
        <f>SUM(K2:K10)</f>
        <v/>
      </c>
      <c r="L11">
        <f>SUM(L2:L10)</f>
        <v/>
      </c>
      <c r="M11">
        <f>SUM(M2:M10)</f>
        <v/>
      </c>
      <c r="N11">
        <f>SUM(N2:N10)</f>
        <v/>
      </c>
      <c r="O11">
        <f>SUM(O2:O10)</f>
        <v/>
      </c>
      <c r="P11">
        <f>SUM(P2:P10)</f>
        <v/>
      </c>
      <c r="Q11">
        <f>SUM(Q2:Q10)</f>
        <v/>
      </c>
      <c r="R11">
        <f>SUM(R2:R10)</f>
        <v/>
      </c>
      <c r="S11" t="inlineStr">
        <is>
          <t>-</t>
        </is>
      </c>
      <c r="T11">
        <f>SUM(T2:T10)</f>
        <v/>
      </c>
      <c r="U11" t="inlineStr">
        <is>
          <t>-</t>
        </is>
      </c>
      <c r="V11">
        <f>SUM(V2:V10)</f>
        <v/>
      </c>
      <c r="W11" t="inlineStr">
        <is>
          <t>-</t>
        </is>
      </c>
    </row>
    <row r="13">
      <c r="A13" t="inlineStr">
        <is>
          <t>注：单位=吨镍金属量；边际看印尼——2026核心变量：①RKAB配额(Weda Bay仅批12Mwmt vs 2025年42Mwmt;Antam 1810万wmt;NIC Hengjaya 1900万wmt)；②华飞HPAL 4月停产检修；③ENC/SLNC新HPAL投产节奏；④青山系NPI转高冰镍利润窗口。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  <col width="60" customWidth="1" min="3" max="3"/>
  </cols>
  <sheetData>
    <row r="1">
      <c r="A1" s="1" t="inlineStr">
        <is>
          <t>日期</t>
        </is>
      </c>
      <c r="B1" s="1" t="inlineStr">
        <is>
          <t>更新内容</t>
        </is>
      </c>
      <c r="C1" s="1" t="inlineStr">
        <is>
          <t>数据来源</t>
        </is>
      </c>
    </row>
    <row r="2">
      <c r="A2" t="inlineStr">
        <is>
          <t>2026-07-26</t>
        </is>
      </c>
      <c r="B2" t="inlineStr">
        <is>
          <t>首次建立：一级镍(12家)/镍铁NPI(10家)/印尼中间品(8家)季度产量，历史锚点取自镍季度生产报告.xlsx汇总表(2023-2025Q3)，2025Q4-2026Q2按各公司最新季报补入(Vale/Anglo 26Q2已发布；Glencore/Eramet/NIC 26Q2待7/29；住友/Sherritt/MBMA/Antam待7月底-8月)；关键口径变化：South32镍已出售CoreX、Anglo镍待售MMG、Ambatovy待售AMRI、Sandouville/Koniambo关停、BHP停产、Sherritt因古巴制裁停摆</t>
        </is>
      </c>
      <c r="C2" t="inlineStr">
        <is>
          <t>各公司季报/ASX/IDX/官网(2026-07-26调研)；镍季度生产报告.xlsx；镍与不锈钢周报20260726.pdf</t>
        </is>
      </c>
    </row>
    <row r="3">
      <c r="A3" t="inlineStr">
        <is>
          <t>2026-07-26</t>
        </is>
      </c>
      <c r="B3" t="inlineStr">
        <is>
          <t>补齐2023年起季度序列（以镍季度生产报告.xlsx为基准）：一级镍补住友/Ambatovy/BHP/Sherritt 23-24季度，镍铁NPI补全部10家23-25季度（含NIC 24-25、Merdeka 24-25、Antam 23-25、Weda Bay 23-25）；修正Sherritt为100%口径（2025=官方25240）；NIC 25Q4取官方31561（源表23057疑笔误）；Implats补23总计+24季度（拆分值）</t>
        </is>
      </c>
      <c r="C3" t="inlineStr">
        <is>
          <t>镍季度生产报告.xlsx（镍资源/镍铁/汇总sheet）；各公司官方季报交叉验证</t>
        </is>
      </c>
    </row>
    <row r="4">
      <c r="A4" t="inlineStr">
        <is>
          <t>2026-07-29</t>
        </is>
      </c>
      <c r="B4" t="inlineStr">
        <is>
          <t>Nornickel 26Q2镍43,282吨(H1 85,028,指引维持193-203kt)；NIC Q2:RKEF 27,864吨(-8%),HNC MHP产量未披露(销量17,824),ENC 7/21首批MHP、8月中首批镍阴极；另ENC扩建CNE36%/TMI17.5%预计2027年中投料</t>
        </is>
      </c>
      <c r="C4" t="inlineStr">
        <is>
          <t>Nornickel官方Q2报告(7/27)；NIC Q2季报ASX(7/29)</t>
        </is>
      </c>
    </row>
    <row r="5">
      <c r="A5" t="inlineStr">
        <is>
          <t>2026-07-29</t>
        </is>
      </c>
      <c r="B5" t="inlineStr">
        <is>
          <t>指引口径修正：Glencore INO/Murrin 与 Vale 厂址行改无单体指引（集团指引不可按厂拆分）；住友指引改合计 6.91万吨（财年止3月）；Weda Bay 改无正式指引（9Mwmt 为矿石配额非产量指引）</t>
        </is>
      </c>
      <c r="C5" t="inlineStr">
        <is>
          <t>各公司 Q2 2026 季报口径核对</t>
        </is>
      </c>
    </row>
    <row r="6">
      <c r="A6" t="inlineStr">
        <is>
          <t>2026-07-29</t>
        </is>
      </c>
      <c r="B6" t="inlineStr">
        <is>
          <t>Glencore 26Q2:INO 10,400/Murrin 8,200吨;集团镍H1 35,800(-2%),FY26指引维持</t>
        </is>
      </c>
      <c r="C6" t="inlineStr">
        <is>
          <t>Glencore H1 2026 Production Report</t>
        </is>
      </c>
    </row>
    <row r="7">
      <c r="A7" t="inlineStr">
        <is>
          <t>2026-08-18</t>
        </is>
      </c>
      <c r="B7" t="inlineStr">
        <is>
          <t>新增骨架行2家：Harita(TBP)NPI+Nickel Asia红土镍矿（矿石口径勿入总计）；数据列占位待回填</t>
        </is>
      </c>
      <c r="C7" t="inlineStr">
        <is>
          <t>审计建议（16家优先新增+8个跨品种归类修正，2026-08-18）</t>
        </is>
      </c>
    </row>
    <row r="8">
      <c r="A8" t="inlineStr">
        <is>
          <t>2026-08-18</t>
        </is>
      </c>
      <c r="B8" t="inlineStr">
        <is>
          <t>新增骨架行：Harita(TBP) HPAL MHP（印尼中间品板块）；数据列占位待回填</t>
        </is>
      </c>
      <c r="C8" t="inlineStr">
        <is>
          <t>审计建议（16家优先新增+8个跨品种归类修正，2026-08-18）</t>
        </is>
      </c>
    </row>
    <row r="9">
      <c r="A9" t="inlineStr">
        <is>
          <t>2026-08-24</t>
        </is>
      </c>
      <c r="B9" t="inlineStr">
        <is>
          <t>镍 26Q2 欠账补录：Eramet SLN 8800/Weda Bay 7700（推算）；Sherritt 2638（100%推算）+MSP 934；Antam 3812（推算）；MBMA 19505；Ambatovy 停产未披露；住友/Harita 待拆/待发布；NAC H1=865 万湿吨</t>
        </is>
      </c>
      <c r="C9" t="inlineStr">
        <is>
          <t>Eramet H1（7/29）；Sherritt Q2（8/12）；Petromindo/KONTAN；NAC H1（8/7）；mining.com/HSF（Ambatovy）</t>
        </is>
      </c>
    </row>
    <row r="10">
      <c r="A10" t="inlineStr">
        <is>
          <t>2026-10-14</t>
        </is>
      </c>
      <c r="B10" t="inlineStr">
        <is>
          <t>26Q2复核：中伟——2026中报(8/25)新能源金属H1产量126,081.84金吨(有效产能13.7万/利用率92.03%)为板块合计口径，与本行权益中间品口径不符，26Q2维持"-"（8/31已记，本次复核确认）</t>
        </is>
      </c>
      <c r="C10" t="inlineStr">
        <is>
          <t>中伟新材2026半年度报告全文（新浪财经/巨潮）</t>
        </is>
      </c>
    </row>
    <row r="11">
      <c r="A11" t="inlineStr">
        <is>
          <t>2026-10-14</t>
        </is>
      </c>
      <c r="B11" t="inlineStr">
        <is>
          <t>镍 26Q2 缺口收口：NIC HNC MHP 26Q2=19,646（官方 H1 41,172−Q1 21,526 推算，交叉验证 RKEF H1=58,128=Q1+Q2 吻合）；MBMA HGNM 26Q2=9,165（官方季报直接披露，更正 8/24 '未找到'）；Ambatovy 维持'-'（2月气旋停产+6月交割 AMRI，无季报）；Implats 维持'-'（FY26 全年 18,456 吨已披露 7/31，无季度拆分）；South32 Cerro Matoso 维持'-'（2025/12/1 售 CoreX，退出披露）</t>
        </is>
      </c>
      <c r="C11" t="inlineStr">
        <is>
          <t>NIC H1 2026 interim report（nickelindustries.com）+ Q2'26 Quarterly Activities Report/Presentation（2026-07-29）；MBMA Q2 2026 Quarterly Activities Report（merdekabattery.com，2026-08-01）；Implats FY26 产量报告（JSE SENS 7/31）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2026-07-26T12:50:15Z</dcterms:created>
  <dcterms:modified xmlns:dcterms="http://purl.org/dc/terms/" xmlns:xsi="http://www.w3.org/2001/XMLSchema-instance" xsi:type="dcterms:W3CDTF">2026-10-14T02:52:10Z</dcterms:modified>
</cp:coreProperties>
</file>