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X10" t="inlineStr">
        <is>
          <t>2Q26：品位升至1.64%+block caving投产，产量同比-6.1%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X11" t="inlineStr">
        <is>
          <t>2Q26：同比+18.8%，运营改善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X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X21" t="inlineStr">
        <is>
          <t>South32 FY26 Q4季报（2026-07-20，Investegate全文核对）锌资产仅Cannington(澳)+Hermosa Taylor(美,在建)，无任何墨西哥/Capela资产披露，26Q2无数可填</t>
        </is>
      </c>
      <c r="Z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X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X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inlineStr">
        <is>
          <t>待发布</t>
        </is>
      </c>
      <c r="W29">
        <f>IF(AND(ISNUMBER(V29),ISNUMBER(O29),O29&lt;&gt;0),(V29-O29)/O29,"-")</f>
        <v/>
      </c>
      <c r="X29" t="inlineStr">
        <is>
          <t>Sibanye H1 2026（JSE，约 8/28）待发布；FY2025 Century 应付锌 101kt（+22% 超指引上限 97.8kt）。源：Sibanye 2025 年报（2/20）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X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X31" t="inlineStr">
        <is>
          <t>26Q2 锌产量 15.6kt=1.56 万吨（Q1 12.6kt）；权益口径。源：Pan American Silver Q2 2026（8/12）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inlineStr">
        <is>
          <t>已发布待拆</t>
        </is>
      </c>
      <c r="W33">
        <f>IF(AND(ISNUMBER(V33),ISNUMBER(O33),O33&lt;&gt;0),(V33-O33)/O33,"-")</f>
        <v/>
      </c>
      <c r="X33" t="inlineStr">
        <is>
          <t>DPM Metals Q2 2026（7/30）已发，Vareš 宣布商产、年底满产；锌分矿明细待拆 → 暂记。源：dpmmetals.com 7/30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X39" t="inlineStr">
        <is>
          <t>26Q2(FY27Q1,止6/30)锌 4.4Mlb=1,996吨=0.20万吨(同比-15%)：6月中主动停产安全整改+回采品位下降；Ying 1.6Mlb+GC 2.9Mlb</t>
        </is>
      </c>
      <c r="Z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X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未披露</t>
        </is>
      </c>
      <c r="W41">
        <f>IF(AND(ISNUMBER(V41),ISNUMBER(O41),O41&lt;&gt;0),(V41-O41)/O41,"-")</f>
        <v/>
      </c>
      <c r="X41" t="inlineStr">
        <is>
          <t>Hecla 2Q26(8/4)仅披露银/金金属量+精矿吨数（GC锌精矿17,990吨+LF锌精矿6,527吨），不再披露锌含金属量</t>
        </is>
      </c>
      <c r="Z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inlineStr">
        <is>
          <t>-</t>
        </is>
      </c>
      <c r="U42">
        <f>IF(AND(ISNUMBER(T42),ISNUMBER(N42),N42&lt;&gt;0),(T42-N42)/N42,"-")</f>
        <v/>
      </c>
      <c r="V42" t="inlineStr">
        <is>
          <t>H1=6.3906</t>
        </is>
      </c>
      <c r="W42">
        <f>IF(AND(ISNUMBER(V42),ISNUMBER(O42),O42&lt;&gt;0),(V42-O42)/O42,"-")</f>
        <v/>
      </c>
      <c r="X42" t="inlineStr">
        <is>
          <t>中报（7/30）：H1 矿产锌 63,906 吨=6.3906 万吨（半年口径，未拆季）。源：西部矿业 2026 半年度报告（巨潮 1225446414）</t>
        </is>
      </c>
      <c r="Z42" t="inlineStr">
        <is>
          <t>跨品种修正：原仅铅目录；A股年报+中报披露（季报无产量）；2026-08-18新增骨架行，数据待回填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inlineStr">
        <is>
          <t>待发布</t>
        </is>
      </c>
      <c r="W43">
        <f>IF(AND(ISNUMBER(V43),ISNUMBER(O43),O43&lt;&gt;0),(V43-O43)/O43,"-")</f>
        <v/>
      </c>
      <c r="X43" t="inlineStr">
        <is>
          <t>华钰矿业中报 8 月底前窗口 → 待发布（截至 2026-08-25 未见披露）</t>
        </is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X44" t="inlineStr">
        <is>
          <t>2Q26：同比-3.7%，Q1扰动后恢复</t>
        </is>
      </c>
      <c r="Z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X45" t="inlineStr">
        <is>
          <t>2Q26：同比-4.2%</t>
        </is>
      </c>
      <c r="Z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X46" t="inlineStr">
        <is>
          <t>2Q26：同比+43.8%；Q1创纪录13kt，Q2尾矿过滤机投产过渡季</t>
        </is>
      </c>
      <c r="Z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三井金属FY27/3期Q1(2026.4-6)决算说明资料(8/7)：亜鉛生産量45千t=4.5万吨(短信仅财务口径,产量在说明资料)；通期计划218千t(8/7修正)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V4" t="inlineStr">
        <is>
          <t>未披露</t>
        </is>
      </c>
      <c r="W4">
        <f>IF(AND(ISNUMBER(V4),ISNUMBER(O4),O4&lt;&gt;0),(V4-O4)/O4,"-")</f>
        <v/>
      </c>
      <c r="X4" t="inlineStr">
        <is>
          <t>Korea Zinc Q2财报(8/6)仅披露锌销量146,374MT(standalone,-2.8%YoY)；产量年度才披露(2025年600,006MT)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X7" t="inlineStr">
        <is>
          <t>Nexa 2Q26报告分厂表：锌金属产量33.7kt（同比+18.2%/环比-7.2%）；口径=锌金属（不含氧化锌9.1kt），与历史行一致。来源：SEC 6-K ex99-1（2026-08-05）</t>
        </is>
      </c>
      <c r="Z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X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X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Z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Z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未披露</t>
        </is>
      </c>
      <c r="W14">
        <f>IF(AND(ISNUMBER(V14),ISNUMBER(O14),O14&lt;&gt;0),(V14-O14)/O14,"-")</f>
        <v/>
      </c>
      <c r="X14" t="inlineStr">
        <is>
          <t>株冶集团2026中报仅财务口径（营收141.5亿+35.9%/净利19.5亿+232.7%），未披露锌锭产量吨数（仅相对表述"析出锌超时序进度0.64%"）</t>
        </is>
      </c>
      <c r="Z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待发布</t>
        </is>
      </c>
      <c r="W15">
        <f>IF(AND(ISNUMBER(V15),ISNUMBER(O15),O15&lt;&gt;0),(V15-O15)/O15,"-")</f>
        <v/>
      </c>
      <c r="X15" t="inlineStr">
        <is>
          <t>锌业股份中报 8 月底前窗口 → 待发布（截至 2026-08-25 未见披露）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  <row r="30">
      <c r="A30" t="inlineStr">
        <is>
          <t>2026-08-31</t>
        </is>
      </c>
      <c r="B30" t="inlineStr">
        <is>
          <t>锌锭 26Q2 回填：Mitsui Mining 4.5（三井金属FY27/3 Q1决算说明资料45kt）；Korea Zinc=未披露（Q2财报仅销量146,374MT）</t>
        </is>
      </c>
      <c r="C30" t="inlineStr">
        <is>
          <t>三井金属决算说明资料 8/7；Korea Zinc IR Earnings Release 8/6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2026-08-31T06:47:25Z</dcterms:modified>
</cp:coreProperties>
</file>