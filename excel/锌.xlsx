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26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  <c r="AA1" s="1" t="inlineStr">
        <is>
          <t>成本（$/t）</t>
        </is>
      </c>
      <c r="AB1" s="1" t="inlineStr">
        <is>
          <t>FY2024资本开支(百万)</t>
        </is>
      </c>
      <c r="AC1" s="1" t="inlineStr">
        <is>
          <t>FY2025资本开支(百万)</t>
        </is>
      </c>
      <c r="AD1" s="1" t="inlineStr">
        <is>
          <t>2026Q1资本开支(百万)</t>
        </is>
      </c>
      <c r="AE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inlineStr">
        <is>
          <t>26Q2采矿金属26.8万吨创同期新高(品位改善)；精炼锌21.3万吨(+6%)</t>
        </is>
      </c>
      <c r="Y2" t="inlineStr">
        <is>
          <t>109-110</t>
        </is>
      </c>
      <c r="AA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26Q2: Gamsberg一期环比+10%至4.5万吨；二期2026年7月起投产</t>
        </is>
      </c>
      <c r="Y3" t="inlineStr">
        <is>
          <t>18-20</t>
        </is>
      </c>
      <c r="AA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X4" t="inlineStr">
        <is>
          <t>浮选回收率提高；26Q2: Deeps矿山接近闭坑，产量0.3万吨(-73%)</t>
        </is>
      </c>
      <c r="Y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品位和采选顺序如期上升；26Q2: 入选铜锌矿比例降至33%(去年同期77%)，矿山计划所致</t>
        </is>
      </c>
      <c r="Y5" t="inlineStr">
        <is>
          <t>无同口径指引（行数据为 100% 口径；Teck 权益 22.5%，权益估算 15.6-20 万吨不可直接对比）</t>
        </is>
      </c>
      <c r="AA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X6" t="inlineStr">
        <is>
          <t>品位下降；26Q2: 品位如矿山计划下降；Q3销量指引22-27万吨(发运季7/12启动)</t>
        </is>
      </c>
      <c r="Y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X7" t="inlineStr">
        <is>
          <t>26Q2: Zinc in concentrates 30.5kt(同比-4.7%)，来自Glencore 2026-H1 Production Report(PDF)；历史Kazzinc数据口径以官方报告为准</t>
        </is>
      </c>
      <c r="Y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X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X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X10" t="inlineStr">
        <is>
          <t>2Q26：品位升至1.64%+block caving投产，产量同比-6.1%</t>
        </is>
      </c>
      <c r="Y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X11" t="inlineStr">
        <is>
          <t>2Q26：同比+18.8%，运营改善</t>
        </is>
      </c>
      <c r="Y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Q2 将 2026 磨矿指引 1.8→1.6Mt（开拓进度不及预期），H2 偏弱</t>
        </is>
      </c>
      <c r="Y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X13" t="inlineStr">
        <is>
          <t>3/14 异常地震+岩爆停产至 4 月底，Q2 磨矿仅约 0.1Mt；受损提升机已修复、未受影响区域复产，目前约 30% 产能；2027 磨矿指引 2.3Mt</t>
        </is>
      </c>
      <c r="Y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X14" t="inlineStr">
        <is>
          <t>一季度强降雨影响；26Q2锌2.79万吨(+7%): 磨矿量环比回升、品位稳定</t>
        </is>
      </c>
      <c r="Y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X15" t="inlineStr">
        <is>
          <t>品位和回收率环比上升；26Q2锌1.68万吨(-24%): 磨矿量环比下降，锌品位升高部分对冲</t>
        </is>
      </c>
      <c r="Y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X16" t="inlineStr">
        <is>
          <t>品位下降；26Q2锌4.61万吨(+6%): 磨矿量提高+锌回收率保持90%以上</t>
        </is>
      </c>
      <c r="Y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X17" t="inlineStr">
        <is>
          <t>开采顺序影响；26Q2锌0.95万吨(-25%): 锌品位下降，金银副产增加使锌当量3.36万吨同比持平；C1指引下调至-1.5~-1.0$/lb</t>
        </is>
      </c>
      <c r="Y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X18" t="inlineStr">
        <is>
          <t>26Q2: 副产锌品位下降(环比-35%/同比-40%)；修正25Q4=4.6万吨(官方46kt，原0.09笔误)</t>
        </is>
      </c>
      <c r="Y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W19">
        <f>IF(AND(ISNUMBER(V19),ISNUMBER(O19),O19&lt;&gt;0),(V19-O19)/O19,"-")</f>
        <v/>
      </c>
      <c r="X19" t="inlineStr">
        <is>
          <t>选矿产设备维修</t>
        </is>
      </c>
      <c r="Y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X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Y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W21">
        <f>IF(AND(ISNUMBER(V21),ISNUMBER(O21),O21&lt;&gt;0),(V21-O21)/O21,"-")</f>
        <v/>
      </c>
      <c r="X21" t="inlineStr">
        <is>
          <t>明确被列为减产矿山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inlineStr">
        <is>
          <t>26Q2创纪录：处理量20.1万吨/品位38.7%/回收率92%均创纪录，5月单月2.57万吨；拟合值：True</t>
        </is>
      </c>
      <c r="Y22" t="inlineStr">
        <is>
          <t>24-29万吨；C1 $0.85-0.95/lb；资本开支指引$60M(100%口径)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W23">
        <f>IF(AND(ISNUMBER(V23),ISNUMBER(O23),O23&lt;&gt;0),(V23-O23)/O23,"-")</f>
        <v/>
      </c>
      <c r="X23" t="inlineStr">
        <is>
          <t>官方季报口径（矿山产锌）；26Q1同比-4.2%；注意券商跟踪表25Q4=12.89/全年40.00为锌+铅口径，官方年报矿产锌35.75万吨，勿混用</t>
        </is>
      </c>
      <c r="Y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W24">
        <f>IF(AND(ISNUMBER(V24),ISNUMBER(O24),O24&lt;&gt;0),(V24-O24)/O24,"-")</f>
        <v/>
      </c>
      <c r="X24" t="inlineStr">
        <is>
          <t>官方Informe del Director口径（含Juanicipio 100%应付产量，非权益）；25年下滑因Tizapa罢工（25年6月底复产），26Q1同比+15.6%；26Q2约8月初披露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X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X26" t="inlineStr">
        <is>
          <t>官方新闻稿口径；2025年+36%主因Buenavista锌选厂高品位矿段；25Q1为全年减后三季推算；26Q2同比-14%（电话会披露，正式新闻稿官网403未取）</t>
        </is>
      </c>
      <c r="Y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X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Y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X28" t="inlineStr">
        <is>
          <t>官方季报权益(attributable)口径；2025年-9%因Ciénega 25年8月起停产锌精矿+San Julián DOB关停；26Q2环比+5.9%</t>
        </is>
      </c>
      <c r="Y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W29">
        <f>IF(AND(ISNUMBER(V29),ISNUMBER(O29),O29&lt;&gt;0),(V29-O29)/O29,"-")</f>
        <v/>
      </c>
      <c r="X29" t="inlineStr">
        <is>
          <t>官方Operating Update应付锌(payable)口径，季度取整至千吨；26Q1同比-19%（超常降雨+计划检修）；Century近服务年限末期；26Q2不单发（H1业绩约8月下旬）</t>
        </is>
      </c>
      <c r="Y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W30">
        <f>IF(AND(ISNUMBER(V30),ISNUMBER(O30),O30&lt;&gt;0),(V30-O30)/O30,"-")</f>
        <v/>
      </c>
      <c r="X30" t="inlineStr">
        <is>
          <t>官方Production Report精矿应付锌(payable)口径；25Q4环比+40%（East Region品位改善）；26Q1降因Nikolayevsky选厂1月计划检修；26Q2未发布（约8月）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1.52</v>
      </c>
      <c r="U31">
        <f>IF(AND(ISNUMBER(T31),ISNUMBER(N31),N31&lt;&gt;0),(T31-N31)/N31,"-")</f>
        <v/>
      </c>
      <c r="W31">
        <f>IF(AND(ISNUMBER(V31),ISNUMBER(O31),O31&lt;&gt;0),(V31-O31)/O31,"-")</f>
        <v/>
      </c>
      <c r="X31" t="inlineStr">
        <is>
          <t>官方权益(attributable)口径；25年9月起并计Juanicipio 44%权益（收购MAG）；25Q3为全年推算值；2025年5.59万吨超原指引4.2-4.5；26Q2业绩8/12发布</t>
        </is>
      </c>
      <c r="Y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X32" t="inlineStr">
        <is>
          <t>官方直接运营(100%)口径；25Q1/25Q3/26Q1为官方累计值之差推算；Tambomayo 2026年处理量计划降约65%</t>
        </is>
      </c>
      <c r="Y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W33">
        <f>IF(AND(ISNUMBER(V33),ISNUMBER(O33),O33&lt;&gt;0),(V33-O33)/O33,"-")</f>
        <v/>
      </c>
      <c r="X33" t="inlineStr">
        <is>
          <t>2025-09-03并入DPM Metals；25Q1/Q2为Adriatic官方应付精矿含锌口径；25Q3/Q4/25Y为券商跟踪表口径(2026-07)待官方核实（与Q1/Q2官方值口径不一致）；26Q1为DPM官方精矿含锌10.0Mlbs≈0.45万吨（口径不同）；Vares爬产，26Q2分金属数据7/30发布</t>
        </is>
      </c>
      <c r="Y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X34" t="inlineStr">
        <is>
          <t>官方新闻稿口径；25Q3曼尼托巴野火强制撤离停产约两个月（仅548吨）；26Q2环比+4.3%（Lalor品位回升）</t>
        </is>
      </c>
      <c r="Y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X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X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X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X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inlineStr">
        <is>
          <t>-</t>
        </is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inlineStr">
        <is>
          <t>-</t>
        </is>
      </c>
      <c r="W39">
        <f>IF(AND(ISNUMBER(V39),ISNUMBER(O39),O39&lt;&gt;0),(V39-O39)/O39,"-")</f>
        <v/>
      </c>
      <c r="Z39" t="inlineStr">
        <is>
          <t>锌精矿含锌量；财年止3月（FY Q4=自然Q1）；季报（TSX/NYSE）；铅目录同步建行；2026-08-18新增骨架行，数据待回填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inlineStr">
        <is>
          <t>-</t>
        </is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inlineStr">
        <is>
          <t>-</t>
        </is>
      </c>
      <c r="U40">
        <f>IF(AND(ISNUMBER(T40),ISNUMBER(N40),N40&lt;&gt;0),(T40-N40)/N40,"-")</f>
        <v/>
      </c>
      <c r="V40" t="inlineStr">
        <is>
          <t>-</t>
        </is>
      </c>
      <c r="W40">
        <f>IF(AND(ISNUMBER(V40),ISNUMBER(O40),O40&lt;&gt;0),(V40-O40)/O40,"-")</f>
        <v/>
      </c>
      <c r="Z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-</t>
        </is>
      </c>
      <c r="W41">
        <f>IF(AND(ISNUMBER(V41),ISNUMBER(O41),O41&lt;&gt;0),(V41-O41)/O41,"-")</f>
        <v/>
      </c>
      <c r="Z41" t="inlineStr">
        <is>
          <t>锌精矿含锌量；自然年；季报（NYSE）≈季后3-4周；铅目录同步建行；2026-08-18新增骨架行，数据待回填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inlineStr">
        <is>
          <t>-</t>
        </is>
      </c>
      <c r="U42">
        <f>IF(AND(ISNUMBER(T42),ISNUMBER(N42),N42&lt;&gt;0),(T42-N42)/N42,"-")</f>
        <v/>
      </c>
      <c r="V42" t="inlineStr">
        <is>
          <t>-</t>
        </is>
      </c>
      <c r="W42">
        <f>IF(AND(ISNUMBER(V42),ISNUMBER(O42),O42&lt;&gt;0),(V42-O42)/O42,"-")</f>
        <v/>
      </c>
      <c r="Z42" t="inlineStr">
        <is>
          <t>跨品种修正：原仅铅目录；A股年报+中报披露（季报无产量）；2026-08-18新增骨架行，数据待回填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inlineStr">
        <is>
          <t>-</t>
        </is>
      </c>
      <c r="W43">
        <f>IF(AND(ISNUMBER(V43),ISNUMBER(O43),O43&lt;&gt;0),(V43-O43)/O43,"-")</f>
        <v/>
      </c>
      <c r="Z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X44" t="inlineStr">
        <is>
          <t>2Q26：同比-3.7%，Q1扰动后恢复</t>
        </is>
      </c>
      <c r="Z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X45" t="inlineStr">
        <is>
          <t>2Q26：同比-4.2%</t>
        </is>
      </c>
      <c r="Z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X46" t="inlineStr">
        <is>
          <t>2Q26：同比+43.8%；Q1创纪录13kt，Q2尾矿过滤机投产过渡季</t>
        </is>
      </c>
      <c r="Z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109.2542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30" customWidth="1" min="24" max="24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X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W3">
        <f>IF(AND(ISNUMBER(V3),ISNUMBER(O3),O3&lt;&gt;0),(V3-O3)/O3,"-")</f>
        <v/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W4">
        <f>IF(AND(ISNUMBER(V4),ISNUMBER(O4),O4&lt;&gt;0),(V4-O4)/O4,"-")</f>
        <v/>
      </c>
      <c r="X4" t="inlineStr">
        <is>
          <t>Q2 2026财报已发布（Revenue 6.37T KRW/OP 587B KRW），精炼锌产量数据待补充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X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X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W7">
        <f>IF(AND(ISNUMBER(V7),ISNUMBER(O7),O7&lt;&gt;0),(V7-O7)/O7,"-")</f>
        <v/>
      </c>
      <c r="X7" t="inlineStr">
        <is>
          <t>氧化锌产出增加</t>
        </is>
      </c>
      <c r="Z7" t="inlineStr">
        <is>
          <t>26Q2 Nexa冶炼锌金属+氧化合计125kt(-10%)；分冶炼厂数据未单独披露，待补充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W8">
        <f>IF(AND(ISNUMBER(V8),ISNUMBER(O8),O8&lt;&gt;0),(V8-O8)/O8,"-")</f>
        <v/>
      </c>
      <c r="X8" t="inlineStr">
        <is>
          <t>产量恢复</t>
        </is>
      </c>
      <c r="Z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X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W10">
        <f>IF(AND(ISNUMBER(V10),ISNUMBER(O10),O10&lt;&gt;0),(V10-O10)/O10,"-")</f>
        <v/>
      </c>
      <c r="X10" t="inlineStr">
        <is>
          <t>Q2 2026财报已发布，分冶炼厂产量数据待补充</t>
        </is>
      </c>
      <c r="Z10" t="inlineStr">
        <is>
          <t>26Q2 Nexa冶炼锌金属+氧化合计125kt(-10%)；分冶炼厂数据未单独披露，待补充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W11">
        <f>IF(AND(ISNUMBER(V11),ISNUMBER(O11),O11&lt;&gt;0),(V11-O11)/O11,"-")</f>
        <v/>
      </c>
      <c r="X11" t="inlineStr">
        <is>
          <t>KZ产能分配至SMC</t>
        </is>
      </c>
      <c r="Z11" t="inlineStr">
        <is>
          <t>26Q2 Nexa冶炼锌金属+氧化合计125kt(-10%)；分冶炼厂数据未单独披露，待补充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X14" t="inlineStr">
        <is>
          <t>跨品种修正：原仅铅目录（精炼铅）；A股年报+中报披露；2026-08-18新增骨架行，数据待回填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-</t>
        </is>
      </c>
      <c r="W15">
        <f>IF(AND(ISNUMBER(V15),ISNUMBER(O15),O15&lt;&gt;0),(V15-O15)/O15,"-")</f>
        <v/>
      </c>
      <c r="X15" t="inlineStr">
        <is>
          <t>跨品种修正：原仅铅目录（精炼铅）；A股年报+中报披露；2026-08-18新增骨架行，数据待回填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2026-08-23T08:39:42Z</dcterms:modified>
</cp:coreProperties>
</file>