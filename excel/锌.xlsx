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锌矿企业·季度产量" sheetId="1" state="visible" r:id="rId1"/>
    <sheet xmlns:r="http://schemas.openxmlformats.org/officeDocument/2006/relationships" name="锌锭冶炼企业·季度产量" sheetId="2" state="visible" r:id="rId2"/>
    <sheet xmlns:r="http://schemas.openxmlformats.org/officeDocument/2006/relationships" name="锌矿企业·资本开支" sheetId="3" state="visible" r:id="rId3"/>
    <sheet xmlns:r="http://schemas.openxmlformats.org/officeDocument/2006/relationships" name="更新日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pivotButton="0" quotePrefix="0" xfId="0"/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4" fontId="0" fillId="0" borderId="0" pivotButton="0" quotePrefix="0" xfId="0"/>
    <xf numFmtId="164" fontId="3" fillId="4" borderId="1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9" customWidth="1" min="23" max="23"/>
    <col width="8" customWidth="1" min="24" max="24"/>
    <col width="9" customWidth="1" min="25" max="25"/>
    <col width="12" customWidth="1" min="26" max="26"/>
    <col width="13" customWidth="1" min="27" max="27"/>
    <col width="13" customWidth="1" min="28" max="28"/>
    <col width="13" customWidth="1" min="29" max="29"/>
    <col width="13" customWidth="1" min="30" max="30"/>
    <col width="34" customWidth="1" min="31" max="31"/>
  </cols>
  <sheetData>
    <row r="1">
      <c r="A1" s="1" t="inlineStr">
        <is>
          <t>公司</t>
        </is>
      </c>
      <c r="B1" s="1" t="inlineStr">
        <is>
          <t>国家</t>
        </is>
      </c>
      <c r="C1" s="1" t="inlineStr">
        <is>
          <t>项目/口径</t>
        </is>
      </c>
      <c r="D1" s="1" t="inlineStr">
        <is>
          <t>23Q1</t>
        </is>
      </c>
      <c r="E1" s="1" t="inlineStr">
        <is>
          <t>23Q2</t>
        </is>
      </c>
      <c r="F1" s="1" t="inlineStr">
        <is>
          <t>23Q3</t>
        </is>
      </c>
      <c r="G1" s="1" t="inlineStr">
        <is>
          <t>23Q4</t>
        </is>
      </c>
      <c r="H1" s="1" t="inlineStr">
        <is>
          <t>23总计</t>
        </is>
      </c>
      <c r="I1" s="1" t="inlineStr">
        <is>
          <t>24Q1</t>
        </is>
      </c>
      <c r="J1" s="1" t="inlineStr">
        <is>
          <t>24Q2</t>
        </is>
      </c>
      <c r="K1" s="1" t="inlineStr">
        <is>
          <t>24Q3</t>
        </is>
      </c>
      <c r="L1" s="1" t="inlineStr">
        <is>
          <t>24Q4</t>
        </is>
      </c>
      <c r="M1" s="1" t="inlineStr">
        <is>
          <t>24总计</t>
        </is>
      </c>
      <c r="N1" s="1" t="inlineStr">
        <is>
          <t>25Q1</t>
        </is>
      </c>
      <c r="O1" s="1" t="inlineStr">
        <is>
          <t>25Q2</t>
        </is>
      </c>
      <c r="P1" s="1" t="inlineStr">
        <is>
          <t>25Q3</t>
        </is>
      </c>
      <c r="Q1" s="1" t="inlineStr">
        <is>
          <t>25Q4</t>
        </is>
      </c>
      <c r="R1" s="1" t="inlineStr">
        <is>
          <t>25总计</t>
        </is>
      </c>
      <c r="S1" s="1" t="inlineStr">
        <is>
          <t>25同比</t>
        </is>
      </c>
      <c r="T1" s="1" t="inlineStr">
        <is>
          <t>26Q1</t>
        </is>
      </c>
      <c r="U1" s="1" t="inlineStr">
        <is>
          <t>26Q1同比</t>
        </is>
      </c>
      <c r="V1" s="1" t="inlineStr">
        <is>
          <t>26Q2</t>
        </is>
      </c>
      <c r="W1" s="1" t="inlineStr">
        <is>
          <t>26Q2同比</t>
        </is>
      </c>
      <c r="X1" s="1" t="inlineStr">
        <is>
          <t>26Q3</t>
        </is>
      </c>
      <c r="Y1" s="1" t="inlineStr">
        <is>
          <t>26Q3同比</t>
        </is>
      </c>
      <c r="Z1" s="1" t="inlineStr">
        <is>
          <t>变化原因</t>
        </is>
      </c>
      <c r="AA1" s="1" t="inlineStr">
        <is>
          <t>FY2026指引</t>
        </is>
      </c>
      <c r="AB1" s="1" t="inlineStr">
        <is>
          <t>备注</t>
        </is>
      </c>
      <c r="AC1" s="1" t="inlineStr">
        <is>
          <t>成本（$/t）</t>
        </is>
      </c>
      <c r="AD1" s="1" t="inlineStr">
        <is>
          <t>FY2024资本开支(百万)</t>
        </is>
      </c>
      <c r="AE1" s="1" t="inlineStr">
        <is>
          <t>FY2025资本开支(百万)</t>
        </is>
      </c>
      <c r="AF1" s="1" t="inlineStr">
        <is>
          <t>2026Q1资本开支(百万)</t>
        </is>
      </c>
      <c r="AG1" t="inlineStr">
        <is>
          <t>资本开支备注</t>
        </is>
      </c>
    </row>
    <row r="2">
      <c r="A2" t="inlineStr">
        <is>
          <t>Vedanta</t>
        </is>
      </c>
      <c r="B2" t="inlineStr">
        <is>
          <t>印度</t>
        </is>
      </c>
      <c r="C2" t="inlineStr">
        <is>
          <t>Zinc India</t>
        </is>
      </c>
      <c r="D2" t="n">
        <v>30.1</v>
      </c>
      <c r="E2" t="n">
        <v>25.7</v>
      </c>
      <c r="F2" t="n">
        <v>25.2</v>
      </c>
      <c r="G2" t="n">
        <v>27.1</v>
      </c>
      <c r="H2" t="n">
        <v>108.1</v>
      </c>
      <c r="I2" t="n">
        <v>29.9</v>
      </c>
      <c r="J2" t="n">
        <v>26.3</v>
      </c>
      <c r="K2" t="n">
        <v>25.6</v>
      </c>
      <c r="L2" t="n">
        <v>26.5</v>
      </c>
      <c r="M2" t="n">
        <v>108.3</v>
      </c>
      <c r="N2" t="n">
        <v>31</v>
      </c>
      <c r="O2" t="n">
        <v>26.5</v>
      </c>
      <c r="P2" t="n">
        <v>25.8</v>
      </c>
      <c r="Q2" t="n">
        <v>27.6</v>
      </c>
      <c r="R2" t="n">
        <v>110.9</v>
      </c>
      <c r="S2">
        <f>IF(AND(ISNUMBER(R2),ISNUMBER(M2),M2&lt;&gt;0),(R2-M2)/M2,"-")</f>
        <v/>
      </c>
      <c r="T2" t="n">
        <v>31.5</v>
      </c>
      <c r="U2">
        <f>IF(AND(ISNUMBER(T2),ISNUMBER(N2),N2&lt;&gt;0),(T2-N2)/N2,"-")</f>
        <v/>
      </c>
      <c r="V2" t="n">
        <v>26.8</v>
      </c>
      <c r="W2">
        <f>IF(AND(ISNUMBER(V2),ISNUMBER(O2),O2&lt;&gt;0),(V2-O2)/O2,"-")</f>
        <v/>
      </c>
      <c r="X2" t="n">
        <v>27.1</v>
      </c>
      <c r="Y2">
        <f>IF(AND(ISNUMBER(X2),ISNUMBER(P2),P2&lt;&gt;0),(X2-P2)/P2,"-")</f>
        <v/>
      </c>
      <c r="Z2" t="inlineStr">
        <is>
          <t>26Q2采矿金属26.8万吨创同期新高(品位改善)；精炼锌21.3万吨(+6%)</t>
        </is>
      </c>
      <c r="AA2" t="inlineStr">
        <is>
          <t>109-110</t>
        </is>
      </c>
      <c r="AC2" t="inlineStr">
        <is>
          <t>1025-1050</t>
        </is>
      </c>
    </row>
    <row r="3">
      <c r="A3" t="inlineStr">
        <is>
          <t>Zinc India</t>
        </is>
      </c>
      <c r="B3" t="inlineStr">
        <is>
          <t>南非</t>
        </is>
      </c>
      <c r="C3" t="inlineStr">
        <is>
          <t>Gamsberg</t>
        </is>
      </c>
      <c r="D3" t="n">
        <v>4.8</v>
      </c>
      <c r="E3" t="n">
        <v>4.9</v>
      </c>
      <c r="F3" t="n">
        <v>4.8</v>
      </c>
      <c r="G3" t="n">
        <v>2.9</v>
      </c>
      <c r="H3" t="n">
        <v>17.4</v>
      </c>
      <c r="I3" t="n">
        <v>2.1</v>
      </c>
      <c r="J3" t="n">
        <v>2.6</v>
      </c>
      <c r="K3" t="n">
        <v>3.2</v>
      </c>
      <c r="L3" t="n">
        <v>3.5</v>
      </c>
      <c r="M3" t="n">
        <v>11.4</v>
      </c>
      <c r="N3" t="n">
        <v>4</v>
      </c>
      <c r="O3" t="n">
        <v>4.6</v>
      </c>
      <c r="P3" t="n">
        <v>4.9</v>
      </c>
      <c r="Q3" t="n">
        <v>4.9</v>
      </c>
      <c r="R3" t="n">
        <v>18.4</v>
      </c>
      <c r="S3">
        <f>IF(AND(ISNUMBER(R3),ISNUMBER(M3),M3&lt;&gt;0),(R3-M3)/M3,"-")</f>
        <v/>
      </c>
      <c r="T3" t="n">
        <v>4</v>
      </c>
      <c r="U3">
        <f>IF(AND(ISNUMBER(T3),ISNUMBER(N3),N3&lt;&gt;0),(T3-N3)/N3,"-")</f>
        <v/>
      </c>
      <c r="V3" t="n">
        <v>4.5</v>
      </c>
      <c r="W3">
        <f>IF(AND(ISNUMBER(V3),ISNUMBER(O3),O3&lt;&gt;0),(V3-O3)/O3,"-")</f>
        <v/>
      </c>
      <c r="X3" t="n">
        <v>4.6</v>
      </c>
      <c r="Y3">
        <f>IF(AND(ISNUMBER(X3),ISNUMBER(P3),P3&lt;&gt;0),(X3-P3)/P3,"-")</f>
        <v/>
      </c>
      <c r="Z3" t="inlineStr">
        <is>
          <t>26Q3 Gamsberg锌4.6万吨，环比+1%；二期已投产、10月起贡献可销售产量；Vedanta Q2FY27官方公告</t>
        </is>
      </c>
      <c r="AA3" t="inlineStr">
        <is>
          <t>18-20</t>
        </is>
      </c>
      <c r="AC3" t="inlineStr">
        <is>
          <t>1250-1350</t>
        </is>
      </c>
    </row>
    <row r="4">
      <c r="A4" t="inlineStr">
        <is>
          <t>Zinc International</t>
        </is>
      </c>
      <c r="B4" t="inlineStr">
        <is>
          <t>黑山</t>
        </is>
      </c>
      <c r="C4" t="inlineStr">
        <is>
          <t>BMM</t>
        </is>
      </c>
      <c r="D4" t="n">
        <v>1.4</v>
      </c>
      <c r="E4" t="n">
        <v>1.9</v>
      </c>
      <c r="F4" t="n">
        <v>1.8</v>
      </c>
      <c r="G4" t="n">
        <v>1.2</v>
      </c>
      <c r="H4" t="n">
        <v>6.3</v>
      </c>
      <c r="I4" t="n">
        <v>1.2</v>
      </c>
      <c r="J4" t="n">
        <v>1.1</v>
      </c>
      <c r="K4" t="n">
        <v>1.2</v>
      </c>
      <c r="L4" t="n">
        <v>1.1</v>
      </c>
      <c r="M4" t="n">
        <v>4.6</v>
      </c>
      <c r="N4" t="n">
        <v>1</v>
      </c>
      <c r="O4" t="n">
        <v>1.1</v>
      </c>
      <c r="P4" t="n">
        <v>1.1</v>
      </c>
      <c r="Q4" t="n">
        <v>1</v>
      </c>
      <c r="R4" t="n">
        <v>4.2</v>
      </c>
      <c r="S4">
        <f>IF(AND(ISNUMBER(R4),ISNUMBER(M4),M4&lt;&gt;0),(R4-M4)/M4,"-")</f>
        <v/>
      </c>
      <c r="T4" t="n">
        <v>1.6</v>
      </c>
      <c r="U4">
        <f>IF(AND(ISNUMBER(T4),ISNUMBER(N4),N4&lt;&gt;0),(T4-N4)/N4,"-")</f>
        <v/>
      </c>
      <c r="V4" t="n">
        <v>0.3</v>
      </c>
      <c r="W4">
        <f>IF(AND(ISNUMBER(V4),ISNUMBER(O4),O4&lt;&gt;0),(V4-O4)/O4,"-")</f>
        <v/>
      </c>
      <c r="X4" t="n">
        <v>0.7</v>
      </c>
      <c r="Y4">
        <f>IF(AND(ISNUMBER(X4),ISNUMBER(P4),P4&lt;&gt;0),(X4-P4)/P4,"-")</f>
        <v/>
      </c>
      <c r="Z4" t="inlineStr">
        <is>
          <t>26Q3 BMM锌0.7万吨（Zinc International总量53kt−Gamsberg 46kt推算），BMM工厂运行趋稳；Vedanta Q2FY27</t>
        </is>
      </c>
      <c r="AA4" t="inlineStr">
        <is>
          <t>5.5-6.5</t>
        </is>
      </c>
    </row>
    <row r="5">
      <c r="A5" t="inlineStr">
        <is>
          <t>TECK</t>
        </is>
      </c>
      <c r="B5" t="inlineStr">
        <is>
          <t>秘鲁</t>
        </is>
      </c>
      <c r="C5" t="inlineStr">
        <is>
          <t>Antamina(100%口径)</t>
        </is>
      </c>
      <c r="D5" t="n">
        <v>8.33</v>
      </c>
      <c r="E5" t="n">
        <v>13.67</v>
      </c>
      <c r="F5" t="n">
        <v>12.54</v>
      </c>
      <c r="G5" t="n">
        <v>11.77</v>
      </c>
      <c r="H5" t="n">
        <v>46.31</v>
      </c>
      <c r="I5" t="n">
        <v>6.470000000000001</v>
      </c>
      <c r="J5" t="n">
        <v>5.56</v>
      </c>
      <c r="K5" t="n">
        <v>6.78</v>
      </c>
      <c r="L5" t="n">
        <v>7.78</v>
      </c>
      <c r="M5" t="n">
        <v>26.81</v>
      </c>
      <c r="N5" t="n">
        <v>9.130000000000001</v>
      </c>
      <c r="O5" t="n">
        <v>14.2</v>
      </c>
      <c r="P5" t="n">
        <v>12.67</v>
      </c>
      <c r="Q5" t="n">
        <v>9.48</v>
      </c>
      <c r="R5" t="n">
        <v>45.48</v>
      </c>
      <c r="S5">
        <f>IF(AND(ISNUMBER(R5),ISNUMBER(M5),M5&lt;&gt;0),(R5-M5)/M5,"-")</f>
        <v/>
      </c>
      <c r="T5" t="n">
        <v>6.58</v>
      </c>
      <c r="U5">
        <f>IF(AND(ISNUMBER(T5),ISNUMBER(N5),N5&lt;&gt;0),(T5-N5)/N5,"-")</f>
        <v/>
      </c>
      <c r="V5" t="n">
        <v>5.4</v>
      </c>
      <c r="W5">
        <f>IF(AND(ISNUMBER(V5),ISNUMBER(O5),O5&lt;&gt;0),(V5-O5)/O5,"-")</f>
        <v/>
      </c>
      <c r="X5" t="inlineStr">
        <is>
          <t>待发布(2026-10-29)</t>
        </is>
      </c>
      <c r="Y5">
        <f>IF(AND(ISNUMBER(X5),ISNUMBER(P5),P5&lt;&gt;0),(X5-P5)/P5,"-")</f>
        <v/>
      </c>
      <c r="Z5" t="inlineStr">
        <is>
          <t>品位和采选顺序如期上升；26Q2: 入选铜锌矿比例降至33%(去年同期77%)，矿山计划所致</t>
        </is>
      </c>
      <c r="AA5" t="inlineStr">
        <is>
          <t>无同口径指引（行数据为 100% 口径；Teck 权益 22.5%，权益估算 15.6-20 万吨不可直接对比）</t>
        </is>
      </c>
      <c r="AC5" t="inlineStr">
        <is>
          <t>0.8-0.9$/lb</t>
        </is>
      </c>
    </row>
    <row r="6">
      <c r="A6" t="inlineStr">
        <is>
          <t>TECK</t>
        </is>
      </c>
      <c r="B6" t="inlineStr">
        <is>
          <t>加拿大</t>
        </is>
      </c>
      <c r="C6" t="inlineStr">
        <is>
          <t>Red Dog</t>
        </is>
      </c>
      <c r="D6" t="n">
        <v>12.62</v>
      </c>
      <c r="E6" t="n">
        <v>13.37</v>
      </c>
      <c r="F6" t="n">
        <v>12.46</v>
      </c>
      <c r="G6" t="n">
        <v>15.53</v>
      </c>
      <c r="H6" t="n">
        <v>53.98</v>
      </c>
      <c r="I6" t="n">
        <v>14.53</v>
      </c>
      <c r="J6" t="n">
        <v>13.94</v>
      </c>
      <c r="K6" t="n">
        <v>14.25</v>
      </c>
      <c r="L6" t="n">
        <v>12.84</v>
      </c>
      <c r="M6" t="n">
        <v>55.56</v>
      </c>
      <c r="N6" t="n">
        <v>11.68</v>
      </c>
      <c r="O6" t="n">
        <v>13.66</v>
      </c>
      <c r="P6" t="n">
        <v>12.2</v>
      </c>
      <c r="Q6" t="n">
        <v>8.73</v>
      </c>
      <c r="R6" t="n">
        <v>46.27</v>
      </c>
      <c r="S6">
        <f>IF(AND(ISNUMBER(R6),ISNUMBER(M6),M6&lt;&gt;0),(R6-M6)/M6,"-")</f>
        <v/>
      </c>
      <c r="T6" t="n">
        <v>10.6</v>
      </c>
      <c r="U6">
        <f>IF(AND(ISNUMBER(T6),ISNUMBER(N6),N6&lt;&gt;0),(T6-N6)/N6,"-")</f>
        <v/>
      </c>
      <c r="V6" t="n">
        <v>11.2</v>
      </c>
      <c r="W6">
        <f>IF(AND(ISNUMBER(V6),ISNUMBER(O6),O6&lt;&gt;0),(V6-O6)/O6,"-")</f>
        <v/>
      </c>
      <c r="X6" t="inlineStr">
        <is>
          <t>待发布(2026-10-29)</t>
        </is>
      </c>
      <c r="Y6">
        <f>IF(AND(ISNUMBER(X6),ISNUMBER(P6),P6&lt;&gt;0),(X6-P6)/P6,"-")</f>
        <v/>
      </c>
      <c r="Z6" t="inlineStr">
        <is>
          <t>品位下降；26Q2: 品位如矿山计划下降；Q3销量指引22-27万吨(发运季7/12启动)</t>
        </is>
      </c>
      <c r="AA6" t="inlineStr">
        <is>
          <t>37.5-41.5</t>
        </is>
      </c>
    </row>
    <row r="7">
      <c r="A7" t="inlineStr">
        <is>
          <t>Glencore</t>
        </is>
      </c>
      <c r="B7" t="inlineStr">
        <is>
          <t>哈萨克斯坦</t>
        </is>
      </c>
      <c r="C7" t="inlineStr">
        <is>
          <t>Kazzinc</t>
        </is>
      </c>
      <c r="D7" t="n">
        <v>3.43</v>
      </c>
      <c r="E7" t="n">
        <v>3.77</v>
      </c>
      <c r="F7" t="n">
        <v>4.74</v>
      </c>
      <c r="G7" t="n">
        <v>5.45</v>
      </c>
      <c r="H7" t="n">
        <v>17.39</v>
      </c>
      <c r="I7" t="n">
        <v>4.86</v>
      </c>
      <c r="J7" t="n">
        <v>4.819999999999999</v>
      </c>
      <c r="K7" t="n">
        <v>6.1</v>
      </c>
      <c r="L7" t="n">
        <v>6.93</v>
      </c>
      <c r="M7" t="n">
        <v>22.71</v>
      </c>
      <c r="N7" t="n">
        <v>2.14</v>
      </c>
      <c r="O7" t="n">
        <v>3.2</v>
      </c>
      <c r="P7" t="n">
        <v>3.24</v>
      </c>
      <c r="Q7" t="n">
        <v>3.97</v>
      </c>
      <c r="R7" t="n">
        <v>12.55</v>
      </c>
      <c r="S7">
        <f>IF(AND(ISNUMBER(R7),ISNUMBER(M7),M7&lt;&gt;0),(R7-M7)/M7,"-")</f>
        <v/>
      </c>
      <c r="T7" t="n">
        <v>1.78</v>
      </c>
      <c r="U7">
        <f>IF(AND(ISNUMBER(T7),ISNUMBER(N7),N7&lt;&gt;0),(T7-N7)/N7,"-")</f>
        <v/>
      </c>
      <c r="V7" t="n">
        <v>3.05</v>
      </c>
      <c r="W7">
        <f>IF(AND(ISNUMBER(V7),ISNUMBER(O7),O7&lt;&gt;0),(V7-O7)/O7,"-")</f>
        <v/>
      </c>
      <c r="X7" t="inlineStr">
        <is>
          <t>待发布(2026-10-29)</t>
        </is>
      </c>
      <c r="Y7">
        <f>IF(AND(ISNUMBER(X7),ISNUMBER(P7),P7&lt;&gt;0),(X7-P7)/P7,"-")</f>
        <v/>
      </c>
      <c r="Z7" t="inlineStr">
        <is>
          <t>26Q2: Zinc in concentrates 30.5kt(同比-4.7%)，来自Glencore 2026-H1 Production Report(PDF)；历史Kazzinc数据口径以官方报告为准</t>
        </is>
      </c>
      <c r="AA7" t="inlineStr">
        <is>
          <t>无单体指引（集团 FY26 锌指引 70-74 万吨：Antamina 减量+Mount Isa 资源枯竭）</t>
        </is>
      </c>
    </row>
    <row r="8">
      <c r="A8" t="inlineStr">
        <is>
          <t>Glencore</t>
        </is>
      </c>
      <c r="B8" t="inlineStr">
        <is>
          <t>澳大利亚</t>
        </is>
      </c>
      <c r="C8" t="inlineStr">
        <is>
          <t>McArthur River</t>
        </is>
      </c>
      <c r="D8" t="n">
        <v>6.69</v>
      </c>
      <c r="E8" t="n">
        <v>6.640000000000001</v>
      </c>
      <c r="F8" t="n">
        <v>6.31</v>
      </c>
      <c r="G8" t="n">
        <v>6.58</v>
      </c>
      <c r="H8" t="n">
        <v>26.22</v>
      </c>
      <c r="I8" t="n">
        <v>6.13</v>
      </c>
      <c r="J8" t="n">
        <v>5.86</v>
      </c>
      <c r="K8" t="n">
        <v>6.56</v>
      </c>
      <c r="L8" t="n">
        <v>7.42</v>
      </c>
      <c r="M8" t="n">
        <v>25.97</v>
      </c>
      <c r="N8" t="n">
        <v>6.37</v>
      </c>
      <c r="O8" t="n">
        <v>6.68</v>
      </c>
      <c r="P8" t="n">
        <v>7.1</v>
      </c>
      <c r="Q8" t="n">
        <v>7.31</v>
      </c>
      <c r="R8" t="n">
        <v>27.46</v>
      </c>
      <c r="S8">
        <f>IF(AND(ISNUMBER(R8),ISNUMBER(M8),M8&lt;&gt;0),(R8-M8)/M8,"-")</f>
        <v/>
      </c>
      <c r="T8" t="n">
        <v>6.8</v>
      </c>
      <c r="U8">
        <f>IF(AND(ISNUMBER(T8),ISNUMBER(N8),N8&lt;&gt;0),(T8-N8)/N8,"-")</f>
        <v/>
      </c>
      <c r="V8" t="n">
        <v>7</v>
      </c>
      <c r="W8">
        <f>IF(AND(ISNUMBER(V8),ISNUMBER(O8),O8&lt;&gt;0),(V8-O8)/O8,"-")</f>
        <v/>
      </c>
      <c r="X8" t="inlineStr">
        <is>
          <t>待发布(2026-10-29)</t>
        </is>
      </c>
      <c r="Y8">
        <f>IF(AND(ISNUMBER(X8),ISNUMBER(P8),P8&lt;&gt;0),(X8-P8)/P8,"-")</f>
        <v/>
      </c>
      <c r="Z8" t="inlineStr">
        <is>
          <t>26Q2: Zinc in concentrates 70.0kt(同比+4.8%)，来自Glencore 2026-H1 Production Report；历史数据与官方报告Zinc in concentrates口径吻合</t>
        </is>
      </c>
    </row>
    <row r="9">
      <c r="A9" t="inlineStr">
        <is>
          <t>Glencore</t>
        </is>
      </c>
      <c r="B9" t="inlineStr">
        <is>
          <t>澳大利亚</t>
        </is>
      </c>
      <c r="C9" t="inlineStr">
        <is>
          <t>Mount Isa</t>
        </is>
      </c>
      <c r="D9" t="n">
        <v>6.16</v>
      </c>
      <c r="E9" t="n">
        <v>6.85</v>
      </c>
      <c r="F9" t="n">
        <v>7.6</v>
      </c>
      <c r="G9" t="n">
        <v>8.109999999999999</v>
      </c>
      <c r="H9" t="n">
        <v>28.72</v>
      </c>
      <c r="I9" t="n">
        <v>6.37</v>
      </c>
      <c r="J9" t="n">
        <v>7.67</v>
      </c>
      <c r="K9" t="n">
        <v>7.06</v>
      </c>
      <c r="L9" t="n">
        <v>7.77</v>
      </c>
      <c r="M9" t="n">
        <v>28.87</v>
      </c>
      <c r="N9" t="n">
        <v>6.9</v>
      </c>
      <c r="O9" t="n">
        <v>7.25</v>
      </c>
      <c r="P9" t="n">
        <v>6.8</v>
      </c>
      <c r="Q9" t="n">
        <v>7.87</v>
      </c>
      <c r="R9" t="n">
        <v>28.82</v>
      </c>
      <c r="S9">
        <f>IF(AND(ISNUMBER(R9),ISNUMBER(M9),M9&lt;&gt;0),(R9-M9)/M9,"-")</f>
        <v/>
      </c>
      <c r="T9" t="n">
        <v>6.75</v>
      </c>
      <c r="U9">
        <f>IF(AND(ISNUMBER(T9),ISNUMBER(N9),N9&lt;&gt;0),(T9-N9)/N9,"-")</f>
        <v/>
      </c>
      <c r="V9" t="n">
        <v>3.91</v>
      </c>
      <c r="W9">
        <f>IF(AND(ISNUMBER(V9),ISNUMBER(O9),O9&lt;&gt;0),(V9-O9)/O9,"-")</f>
        <v/>
      </c>
      <c r="X9" t="inlineStr">
        <is>
          <t>待发布(2026-10-29)</t>
        </is>
      </c>
      <c r="Y9">
        <f>IF(AND(ISNUMBER(X9),ISNUMBER(P9),P9&lt;&gt;0),(X9-P9)/P9,"-")</f>
        <v/>
      </c>
      <c r="Z9" t="inlineStr">
        <is>
          <t>26Q2: Zinc in concentrates 39.1kt(同比-46.1%)，来自Glencore 2026-H1 Production Report；历史数据与官方报告Zinc in concentrates口径吻合</t>
        </is>
      </c>
    </row>
    <row r="10">
      <c r="A10" t="inlineStr">
        <is>
          <t>NEXA</t>
        </is>
      </c>
      <c r="B10" t="inlineStr">
        <is>
          <t>秘鲁</t>
        </is>
      </c>
      <c r="C10" t="inlineStr">
        <is>
          <t>Cerro Lindo</t>
        </is>
      </c>
      <c r="D10" t="n">
        <v>1.5</v>
      </c>
      <c r="E10" t="n">
        <v>1.69</v>
      </c>
      <c r="F10" t="n">
        <v>2.17</v>
      </c>
      <c r="G10" t="n">
        <v>2.46</v>
      </c>
      <c r="H10" t="n">
        <v>7.819999999999999</v>
      </c>
      <c r="I10" t="n">
        <v>2.43</v>
      </c>
      <c r="J10" t="n">
        <v>2.41</v>
      </c>
      <c r="K10" t="n">
        <v>2.31</v>
      </c>
      <c r="L10" t="n">
        <v>1.5</v>
      </c>
      <c r="M10" t="n">
        <v>8.65</v>
      </c>
      <c r="N10" t="n">
        <v>1.7</v>
      </c>
      <c r="O10" t="n">
        <v>2.33</v>
      </c>
      <c r="P10" t="n">
        <v>2.23</v>
      </c>
      <c r="Q10" t="n">
        <v>2.5</v>
      </c>
      <c r="R10" t="n">
        <v>8.76</v>
      </c>
      <c r="S10">
        <f>IF(AND(ISNUMBER(R10),ISNUMBER(M10),M10&lt;&gt;0),(R10-M10)/M10,"-")</f>
        <v/>
      </c>
      <c r="T10" t="n">
        <v>2.16</v>
      </c>
      <c r="U10">
        <f>IF(AND(ISNUMBER(T10),ISNUMBER(N10),N10&lt;&gt;0),(T10-N10)/N10,"-")</f>
        <v/>
      </c>
      <c r="V10" t="n">
        <v>2.19</v>
      </c>
      <c r="W10">
        <f>IF(AND(ISNUMBER(V10),ISNUMBER(O10),O10&lt;&gt;0),(V10-O10)/O10,"-")</f>
        <v/>
      </c>
      <c r="X10" t="inlineStr">
        <is>
          <t>待发布(2026-10-29)</t>
        </is>
      </c>
      <c r="Y10">
        <f>IF(AND(ISNUMBER(X10),ISNUMBER(P10),P10&lt;&gt;0),(X10-P10)/P10,"-")</f>
        <v/>
      </c>
      <c r="Z10" t="inlineStr">
        <is>
          <t>2Q26：品位升至1.64%+block caving投产，产量同比-6.1%</t>
        </is>
      </c>
      <c r="AA10" t="inlineStr">
        <is>
          <t>12.8-14.5（Nexa 2026 官方指引，中枢 +6%；原 10-11 为旧值已更正）</t>
        </is>
      </c>
    </row>
    <row r="11">
      <c r="A11" t="inlineStr">
        <is>
          <t>NEXA</t>
        </is>
      </c>
      <c r="B11" t="inlineStr">
        <is>
          <t>巴西</t>
        </is>
      </c>
      <c r="C11" t="inlineStr">
        <is>
          <t>Vazante</t>
        </is>
      </c>
      <c r="D11" t="n">
        <v>3.58</v>
      </c>
      <c r="E11" t="n">
        <v>3.66</v>
      </c>
      <c r="F11" t="n">
        <v>3.84</v>
      </c>
      <c r="G11" t="n">
        <v>3.49</v>
      </c>
      <c r="H11" t="n">
        <v>14.57</v>
      </c>
      <c r="I11" t="n">
        <v>3.49</v>
      </c>
      <c r="J11" t="n">
        <v>3.45</v>
      </c>
      <c r="K11" t="n">
        <v>3.64</v>
      </c>
      <c r="L11" t="n">
        <v>3.41</v>
      </c>
      <c r="M11" t="n">
        <v>13.99</v>
      </c>
      <c r="N11" t="n">
        <v>2.98</v>
      </c>
      <c r="O11" t="n">
        <v>2.74</v>
      </c>
      <c r="P11" t="n">
        <v>3.37</v>
      </c>
      <c r="Q11" t="n">
        <v>3.7</v>
      </c>
      <c r="R11" t="n">
        <v>12.79</v>
      </c>
      <c r="S11">
        <f>IF(AND(ISNUMBER(R11),ISNUMBER(M11),M11&lt;&gt;0),(R11-M11)/M11,"-")</f>
        <v/>
      </c>
      <c r="T11" t="n">
        <v>3.26</v>
      </c>
      <c r="U11">
        <f>IF(AND(ISNUMBER(T11),ISNUMBER(N11),N11&lt;&gt;0),(T11-N11)/N11,"-")</f>
        <v/>
      </c>
      <c r="V11" t="n">
        <v>3.26</v>
      </c>
      <c r="W11">
        <f>IF(AND(ISNUMBER(V11),ISNUMBER(O11),O11&lt;&gt;0),(V11-O11)/O11,"-")</f>
        <v/>
      </c>
      <c r="X11" t="inlineStr">
        <is>
          <t>待发布(2026-10-29)</t>
        </is>
      </c>
      <c r="Y11">
        <f>IF(AND(ISNUMBER(X11),ISNUMBER(P11),P11&lt;&gt;0),(X11-P11)/P11,"-")</f>
        <v/>
      </c>
      <c r="Z11" t="inlineStr">
        <is>
          <t>2Q26：同比+18.8%，运营改善</t>
        </is>
      </c>
      <c r="AA11" t="inlineStr">
        <is>
          <t>12.8-14.5（Nexa 2026 官方指引，中枢 +6%；原 10-11 为旧值已更正）</t>
        </is>
      </c>
    </row>
    <row r="12">
      <c r="A12" t="inlineStr">
        <is>
          <t>BOLIDEN</t>
        </is>
      </c>
      <c r="B12" t="inlineStr">
        <is>
          <t>爱尔兰</t>
        </is>
      </c>
      <c r="C12" t="inlineStr">
        <is>
          <t>Tara</t>
        </is>
      </c>
      <c r="D12" t="n">
        <v>2.64</v>
      </c>
      <c r="E12" t="n">
        <v>2.52</v>
      </c>
      <c r="F12" t="n">
        <v>0.17</v>
      </c>
      <c r="G12" t="n">
        <v>0</v>
      </c>
      <c r="H12" t="n">
        <v>5.33</v>
      </c>
      <c r="I12" t="n">
        <v>0</v>
      </c>
      <c r="J12" t="n">
        <v>0</v>
      </c>
      <c r="K12" t="n">
        <v>0</v>
      </c>
      <c r="L12" t="n">
        <v>0.63</v>
      </c>
      <c r="M12" t="n">
        <v>0.63</v>
      </c>
      <c r="N12" t="n">
        <v>2.16</v>
      </c>
      <c r="O12" t="n">
        <v>2.04</v>
      </c>
      <c r="P12" t="n">
        <v>1.86</v>
      </c>
      <c r="Q12" t="n">
        <v>1.53</v>
      </c>
      <c r="R12" t="n">
        <v>7.590000000000001</v>
      </c>
      <c r="S12">
        <f>IF(AND(ISNUMBER(R12),ISNUMBER(M12),M12&lt;&gt;0),(R12-M12)/M12,"-")</f>
        <v/>
      </c>
      <c r="T12" t="n">
        <v>1.74</v>
      </c>
      <c r="U12">
        <f>IF(AND(ISNUMBER(T12),ISNUMBER(N12),N12&lt;&gt;0),(T12-N12)/N12,"-")</f>
        <v/>
      </c>
      <c r="V12" t="n">
        <v>1.77</v>
      </c>
      <c r="W12">
        <f>IF(AND(ISNUMBER(V12),ISNUMBER(O12),O12&lt;&gt;0),(V12-O12)/O12,"-")</f>
        <v/>
      </c>
      <c r="X12" t="inlineStr">
        <is>
          <t>待发布(2026-10-29)</t>
        </is>
      </c>
      <c r="Y12">
        <f>IF(AND(ISNUMBER(X12),ISNUMBER(P12),P12&lt;&gt;0),(X12-P12)/P12,"-")</f>
        <v/>
      </c>
      <c r="Z12" t="inlineStr">
        <is>
          <t>Q2 将 2026 磨矿指引 1.8→1.6Mt（开拓进度不及预期），H2 偏弱</t>
        </is>
      </c>
      <c r="AA12" t="inlineStr">
        <is>
          <t>5.5-6.5（磨矿指引 1.6Mt 折算；Q2 由 1.8Mt 下调，开拓进度不及预期）</t>
        </is>
      </c>
    </row>
    <row r="13">
      <c r="A13" t="inlineStr">
        <is>
          <t>BOLIDEN</t>
        </is>
      </c>
      <c r="B13" t="inlineStr">
        <is>
          <t>瑞典</t>
        </is>
      </c>
      <c r="C13" t="inlineStr">
        <is>
          <t>Garpenberg</t>
        </is>
      </c>
      <c r="D13" t="n">
        <v>2.44</v>
      </c>
      <c r="E13" t="n">
        <v>2.25</v>
      </c>
      <c r="F13" t="n">
        <v>2.43</v>
      </c>
      <c r="G13" t="n">
        <v>2.49</v>
      </c>
      <c r="H13" t="n">
        <v>9.609999999999999</v>
      </c>
      <c r="I13" t="n">
        <v>2.78</v>
      </c>
      <c r="J13" t="n">
        <v>2.6</v>
      </c>
      <c r="K13" t="n">
        <v>3.1</v>
      </c>
      <c r="L13" t="n">
        <v>2.43</v>
      </c>
      <c r="M13" t="n">
        <v>10.9</v>
      </c>
      <c r="N13" t="n">
        <v>2.46</v>
      </c>
      <c r="O13" t="n">
        <v>2.33</v>
      </c>
      <c r="P13" t="n">
        <v>2.77</v>
      </c>
      <c r="Q13" t="n">
        <v>2.62</v>
      </c>
      <c r="R13" t="n">
        <v>10.18</v>
      </c>
      <c r="S13">
        <f>IF(AND(ISNUMBER(R13),ISNUMBER(M13),M13&lt;&gt;0),(R13-M13)/M13,"-")</f>
        <v/>
      </c>
      <c r="T13" t="n">
        <v>1.93</v>
      </c>
      <c r="U13">
        <f>IF(AND(ISNUMBER(T13),ISNUMBER(N13),N13&lt;&gt;0),(T13-N13)/N13,"-")</f>
        <v/>
      </c>
      <c r="V13" t="n">
        <v>0.2</v>
      </c>
      <c r="W13">
        <f>IF(AND(ISNUMBER(V13),ISNUMBER(O13),O13&lt;&gt;0),(V13-O13)/O13,"-")</f>
        <v/>
      </c>
      <c r="X13" t="inlineStr">
        <is>
          <t>待发布(2026-10-29)</t>
        </is>
      </c>
      <c r="Y13">
        <f>IF(AND(ISNUMBER(X13),ISNUMBER(P13),P13&lt;&gt;0),(X13-P13)/P13,"-")</f>
        <v/>
      </c>
      <c r="Z13" t="inlineStr">
        <is>
          <t>3/14 异常地震+岩爆停产至 4 月底，Q2 磨矿仅约 0.1Mt；受损提升机已修复、未受影响区域复产，目前约 30% 产能；2027 磨矿指引 2.3Mt</t>
        </is>
      </c>
      <c r="AA13" t="inlineStr">
        <is>
          <t>3.2-3.5（地震后 2026 磨矿指引 1.5Mt×品位 2.7% 折算金属量；原 3.7Mt 指引已下调约 60%）</t>
        </is>
      </c>
    </row>
    <row r="14">
      <c r="A14" t="inlineStr">
        <is>
          <t>BOLIDEN</t>
        </is>
      </c>
      <c r="B14" t="inlineStr">
        <is>
          <t>葡萄牙</t>
        </is>
      </c>
      <c r="C14" t="inlineStr">
        <is>
          <t>Neves-Corvo</t>
        </is>
      </c>
      <c r="D14" t="n">
        <v>2.78</v>
      </c>
      <c r="E14" t="n">
        <v>2.42</v>
      </c>
      <c r="F14" t="n">
        <v>2.58</v>
      </c>
      <c r="G14" t="n">
        <v>3.11</v>
      </c>
      <c r="H14" t="n">
        <v>10.89</v>
      </c>
      <c r="I14" t="n">
        <v>2.65</v>
      </c>
      <c r="J14" t="n">
        <v>2.57</v>
      </c>
      <c r="K14" t="n">
        <v>2.95</v>
      </c>
      <c r="L14" t="n">
        <v>2.79</v>
      </c>
      <c r="M14" t="n">
        <v>10.96</v>
      </c>
      <c r="N14" t="n">
        <v>2.77</v>
      </c>
      <c r="O14" t="n">
        <v>2.61</v>
      </c>
      <c r="P14" t="n">
        <v>2.93</v>
      </c>
      <c r="Q14" t="n">
        <v>2.75</v>
      </c>
      <c r="R14" t="n">
        <v>11.06</v>
      </c>
      <c r="S14">
        <f>IF(AND(ISNUMBER(R14),ISNUMBER(M14),M14&lt;&gt;0),(R14-M14)/M14,"-")</f>
        <v/>
      </c>
      <c r="T14" t="n">
        <v>2.59</v>
      </c>
      <c r="U14">
        <f>IF(AND(ISNUMBER(T14),ISNUMBER(N14),N14&lt;&gt;0),(T14-N14)/N14,"-")</f>
        <v/>
      </c>
      <c r="V14" t="n">
        <v>2.79</v>
      </c>
      <c r="W14">
        <f>IF(AND(ISNUMBER(V14),ISNUMBER(O14),O14&lt;&gt;0),(V14-O14)/O14,"-")</f>
        <v/>
      </c>
      <c r="X14" t="inlineStr">
        <is>
          <t>待发布(2026-10-29)</t>
        </is>
      </c>
      <c r="Y14">
        <f>IF(AND(ISNUMBER(X14),ISNUMBER(P14),P14&lt;&gt;0),(X14-P14)/P14,"-")</f>
        <v/>
      </c>
      <c r="Z14" t="inlineStr">
        <is>
          <t>一季度强降雨影响；26Q2锌2.79万吨(+7%): 磨矿量环比回升、品位稳定</t>
        </is>
      </c>
      <c r="AA14" t="inlineStr">
        <is>
          <t>10.5-11.5</t>
        </is>
      </c>
    </row>
    <row r="15">
      <c r="A15" t="inlineStr">
        <is>
          <t>BOLIDEN</t>
        </is>
      </c>
      <c r="B15" t="inlineStr">
        <is>
          <t>瑞典</t>
        </is>
      </c>
      <c r="C15" t="inlineStr">
        <is>
          <t>Zinkgruvan</t>
        </is>
      </c>
      <c r="D15" t="n">
        <v>2.08</v>
      </c>
      <c r="E15" t="n">
        <v>1.19</v>
      </c>
      <c r="F15" t="n">
        <v>2.4</v>
      </c>
      <c r="G15" t="n">
        <v>1.96</v>
      </c>
      <c r="H15" t="n">
        <v>7.630000000000001</v>
      </c>
      <c r="I15" t="n">
        <v>1.92</v>
      </c>
      <c r="J15" t="n">
        <v>2.18</v>
      </c>
      <c r="K15" t="n">
        <v>1.71</v>
      </c>
      <c r="L15" t="n">
        <v>2.41</v>
      </c>
      <c r="M15" t="n">
        <v>8.220000000000001</v>
      </c>
      <c r="N15" t="n">
        <v>2.13</v>
      </c>
      <c r="O15" t="n">
        <v>2.22</v>
      </c>
      <c r="P15" t="n">
        <v>2.02</v>
      </c>
      <c r="Q15" t="n">
        <v>1.43</v>
      </c>
      <c r="R15" t="n">
        <v>7.799999999999999</v>
      </c>
      <c r="S15">
        <f>IF(AND(ISNUMBER(R15),ISNUMBER(M15),M15&lt;&gt;0),(R15-M15)/M15,"-")</f>
        <v/>
      </c>
      <c r="T15" t="n">
        <v>1.75</v>
      </c>
      <c r="U15">
        <f>IF(AND(ISNUMBER(T15),ISNUMBER(N15),N15&lt;&gt;0),(T15-N15)/N15,"-")</f>
        <v/>
      </c>
      <c r="V15" t="n">
        <v>1.68</v>
      </c>
      <c r="W15">
        <f>IF(AND(ISNUMBER(V15),ISNUMBER(O15),O15&lt;&gt;0),(V15-O15)/O15,"-")</f>
        <v/>
      </c>
      <c r="X15" t="inlineStr">
        <is>
          <t>待发布(2026-10-29)</t>
        </is>
      </c>
      <c r="Y15">
        <f>IF(AND(ISNUMBER(X15),ISNUMBER(P15),P15&lt;&gt;0),(X15-P15)/P15,"-")</f>
        <v/>
      </c>
      <c r="Z15" t="inlineStr">
        <is>
          <t>品位和回收率环比上升；26Q2锌1.68万吨(-24%): 磨矿量环比下降，锌品位升高部分对冲</t>
        </is>
      </c>
      <c r="AA15" t="inlineStr">
        <is>
          <t>7.5-8.5</t>
        </is>
      </c>
    </row>
    <row r="16">
      <c r="A16" t="inlineStr">
        <is>
          <t>MMG</t>
        </is>
      </c>
      <c r="B16" t="inlineStr">
        <is>
          <t>澳大利亚</t>
        </is>
      </c>
      <c r="C16" t="inlineStr">
        <is>
          <t>Dugald River</t>
        </is>
      </c>
      <c r="D16" t="n">
        <v>2.09</v>
      </c>
      <c r="E16" t="n">
        <v>3.6474</v>
      </c>
      <c r="F16" t="n">
        <v>4.7354</v>
      </c>
      <c r="G16" t="n">
        <v>4.7116</v>
      </c>
      <c r="H16" t="n">
        <v>15.1844</v>
      </c>
      <c r="I16" t="n">
        <v>4.476</v>
      </c>
      <c r="J16" t="n">
        <v>3.444</v>
      </c>
      <c r="K16" t="n">
        <v>3.48</v>
      </c>
      <c r="L16" t="n">
        <v>4.94</v>
      </c>
      <c r="M16" t="n">
        <v>16.34</v>
      </c>
      <c r="N16" t="n">
        <v>4.09</v>
      </c>
      <c r="O16" t="n">
        <v>4.36</v>
      </c>
      <c r="P16" t="n">
        <v>4.81</v>
      </c>
      <c r="Q16" t="n">
        <v>5.09</v>
      </c>
      <c r="R16" t="n">
        <v>18.35</v>
      </c>
      <c r="S16">
        <f>IF(AND(ISNUMBER(R16),ISNUMBER(M16),M16&lt;&gt;0),(R16-M16)/M16,"-")</f>
        <v/>
      </c>
      <c r="T16" t="n">
        <v>4.11</v>
      </c>
      <c r="U16">
        <f>IF(AND(ISNUMBER(T16),ISNUMBER(N16),N16&lt;&gt;0),(T16-N16)/N16,"-")</f>
        <v/>
      </c>
      <c r="V16" t="n">
        <v>4.61</v>
      </c>
      <c r="W16">
        <f>IF(AND(ISNUMBER(V16),ISNUMBER(O16),O16&lt;&gt;0),(V16-O16)/O16,"-")</f>
        <v/>
      </c>
      <c r="X16" t="n">
        <v>4.7784</v>
      </c>
      <c r="Y16">
        <f>IF(AND(ISNUMBER(X16),ISNUMBER(P16),P16&lt;&gt;0),(X16-P16)/P16,"-")</f>
        <v/>
      </c>
      <c r="Z16" t="inlineStr">
        <is>
          <t>26Q3 Dugald River锌47,784吨=4.7784万吨，同比-1%，品位及回收率支撑；MMG Q3</t>
        </is>
      </c>
      <c r="AA16" t="inlineStr">
        <is>
          <t>17-18</t>
        </is>
      </c>
    </row>
    <row r="17">
      <c r="A17" t="inlineStr">
        <is>
          <t>MMG</t>
        </is>
      </c>
      <c r="B17" t="inlineStr">
        <is>
          <t>澳大利亚</t>
        </is>
      </c>
      <c r="C17" t="inlineStr">
        <is>
          <t>Rosebery</t>
        </is>
      </c>
      <c r="D17" t="n">
        <v>0.9800000000000001</v>
      </c>
      <c r="E17" t="n">
        <v>1.34</v>
      </c>
      <c r="F17" t="n">
        <v>1.19</v>
      </c>
      <c r="G17" t="n">
        <v>1.66</v>
      </c>
      <c r="H17" t="n">
        <v>5.17</v>
      </c>
      <c r="I17" t="n">
        <v>1.45</v>
      </c>
      <c r="J17" t="n">
        <v>1.58</v>
      </c>
      <c r="K17" t="n">
        <v>1.16</v>
      </c>
      <c r="L17" t="n">
        <v>1.44</v>
      </c>
      <c r="M17" t="n">
        <v>5.63</v>
      </c>
      <c r="N17" t="n">
        <v>1.09</v>
      </c>
      <c r="O17" t="n">
        <v>1.26</v>
      </c>
      <c r="P17" t="n">
        <v>1.06</v>
      </c>
      <c r="Q17" t="n">
        <v>1.45</v>
      </c>
      <c r="R17" t="n">
        <v>4.86</v>
      </c>
      <c r="S17">
        <f>IF(AND(ISNUMBER(R17),ISNUMBER(M17),M17&lt;&gt;0),(R17-M17)/M17,"-")</f>
        <v/>
      </c>
      <c r="T17" t="n">
        <v>0.91</v>
      </c>
      <c r="U17">
        <f>IF(AND(ISNUMBER(T17),ISNUMBER(N17),N17&lt;&gt;0),(T17-N17)/N17,"-")</f>
        <v/>
      </c>
      <c r="V17" t="n">
        <v>0.95</v>
      </c>
      <c r="W17">
        <f>IF(AND(ISNUMBER(V17),ISNUMBER(O17),O17&lt;&gt;0),(V17-O17)/O17,"-")</f>
        <v/>
      </c>
      <c r="X17" t="n">
        <v>0.8129999999999999</v>
      </c>
      <c r="Y17">
        <f>IF(AND(ISNUMBER(X17),ISNUMBER(P17),P17&lt;&gt;0),(X17-P17)/P17,"-")</f>
        <v/>
      </c>
      <c r="Z17" t="inlineStr">
        <is>
          <t>26Q3 Rosebery锌8,130吨=0.813万吨，同比-23%：X-South地震后可用矿量下降；全年指引下调至3.2-3.7万吨；MMG Q3</t>
        </is>
      </c>
      <c r="AA17" t="inlineStr">
        <is>
          <t>3.2-3.7（MMG 10/14由4.5-5.5下调）</t>
        </is>
      </c>
    </row>
    <row r="18">
      <c r="A18" t="inlineStr">
        <is>
          <t>Newmont</t>
        </is>
      </c>
      <c r="B18" t="inlineStr">
        <is>
          <t>墨西哥</t>
        </is>
      </c>
      <c r="C18" t="inlineStr">
        <is>
          <t>Penasquito</t>
        </is>
      </c>
      <c r="D18" t="n">
        <v>4.63</v>
      </c>
      <c r="E18" t="n">
        <v>3.54</v>
      </c>
      <c r="G18" t="n">
        <v>2.27</v>
      </c>
      <c r="H18" t="n">
        <v>10.44</v>
      </c>
      <c r="I18" t="n">
        <v>5.76</v>
      </c>
      <c r="J18" t="n">
        <v>6.5</v>
      </c>
      <c r="K18" t="n">
        <v>5.76</v>
      </c>
      <c r="L18" t="n">
        <v>7.7</v>
      </c>
      <c r="M18" t="n">
        <v>25.72</v>
      </c>
      <c r="N18" t="n">
        <v>5.9</v>
      </c>
      <c r="O18" t="n">
        <v>6.7</v>
      </c>
      <c r="P18" t="n">
        <v>5.9</v>
      </c>
      <c r="Q18" t="n">
        <v>4.6</v>
      </c>
      <c r="R18" t="n">
        <v>23.1</v>
      </c>
      <c r="S18">
        <f>IF(AND(ISNUMBER(R18),ISNUMBER(M18),M18&lt;&gt;0),(R18-M18)/M18,"-")</f>
        <v/>
      </c>
      <c r="T18" t="n">
        <v>6.2</v>
      </c>
      <c r="U18">
        <f>IF(AND(ISNUMBER(T18),ISNUMBER(N18),N18&lt;&gt;0),(T18-N18)/N18,"-")</f>
        <v/>
      </c>
      <c r="V18" t="n">
        <v>4</v>
      </c>
      <c r="W18">
        <f>IF(AND(ISNUMBER(V18),ISNUMBER(O18),O18&lt;&gt;0),(V18-O18)/O18,"-")</f>
        <v/>
      </c>
      <c r="X18" t="n">
        <v>6.7</v>
      </c>
      <c r="Y18">
        <f>IF(AND(ISNUMBER(X18),ISNUMBER(P18),P18&lt;&gt;0),(X18-P18)/P18,"-")</f>
        <v/>
      </c>
      <c r="Z18" t="inlineStr">
        <is>
          <t>26Q3 Peñasquito锌6.7万吨，环比+68%：共产品位提高；Newmont Q3 8-K</t>
        </is>
      </c>
      <c r="AA18" t="inlineStr">
        <is>
          <t>22</t>
        </is>
      </c>
    </row>
    <row r="19">
      <c r="A19" t="inlineStr">
        <is>
          <t>Polymetal</t>
        </is>
      </c>
      <c r="B19" t="inlineStr">
        <is>
          <t>俄罗斯</t>
        </is>
      </c>
      <c r="C19" t="inlineStr">
        <is>
          <t>Ozernaya Minin</t>
        </is>
      </c>
      <c r="L19" t="n">
        <v>1.5</v>
      </c>
      <c r="N19" t="n">
        <v>4.5</v>
      </c>
      <c r="O19" t="n">
        <v>5.4</v>
      </c>
      <c r="P19" t="n">
        <v>7.2</v>
      </c>
      <c r="Q19" t="n">
        <v>7</v>
      </c>
      <c r="R19" t="n">
        <v>24.1</v>
      </c>
      <c r="S19">
        <f>IF(AND(ISNUMBER(R19),ISNUMBER(M19),M19&lt;&gt;0),(R19-M19)/M19,"-")</f>
        <v/>
      </c>
      <c r="T19" t="n">
        <v>5.2</v>
      </c>
      <c r="U19">
        <f>IF(AND(ISNUMBER(T19),ISNUMBER(N19),N19&lt;&gt;0),(T19-N19)/N19,"-")</f>
        <v/>
      </c>
      <c r="V19" t="inlineStr">
        <is>
          <t>-</t>
        </is>
      </c>
      <c r="W19">
        <f>IF(AND(ISNUMBER(V19),ISNUMBER(O19),O19&lt;&gt;0),(V19-O19)/O19,"-")</f>
        <v/>
      </c>
      <c r="X19" t="inlineStr">
        <is>
          <t>-</t>
        </is>
      </c>
      <c r="Y19">
        <f>IF(AND(ISNUMBER(X19),ISNUMBER(P19),P19&lt;&gt;0),(X19-P19)/P19,"-")</f>
        <v/>
      </c>
      <c r="Z19" t="inlineStr">
        <is>
          <t>私有化后无公开披露：Polymetal 2024/3/7出售全部俄罗斯资产后更名Solidcore（仅剩哈萨克资产，26Q2季报2026/9/9才发布且不含Ozernoye）；俄资产无公开季度产量（2026-08-31核：akm.ru + solidcore-resources.com）</t>
        </is>
      </c>
      <c r="AA19" t="inlineStr">
        <is>
          <t>预计10左右</t>
        </is>
      </c>
    </row>
    <row r="20">
      <c r="A20" t="inlineStr">
        <is>
          <t>South32</t>
        </is>
      </c>
      <c r="B20" t="inlineStr">
        <is>
          <t>澳大利亚</t>
        </is>
      </c>
      <c r="C20" t="inlineStr">
        <is>
          <t>Cannington</t>
        </is>
      </c>
      <c r="D20" t="n">
        <v>1.26</v>
      </c>
      <c r="E20" t="n">
        <v>1.62</v>
      </c>
      <c r="F20" t="n">
        <v>1.32</v>
      </c>
      <c r="G20" t="n">
        <v>1.58</v>
      </c>
      <c r="H20" t="n">
        <v>5.779999999999999</v>
      </c>
      <c r="I20" t="n">
        <v>1.43</v>
      </c>
      <c r="J20" t="n">
        <v>1.74</v>
      </c>
      <c r="K20" t="n">
        <v>1.21</v>
      </c>
      <c r="L20" t="n">
        <v>1.08</v>
      </c>
      <c r="M20" t="n">
        <v>5.459999999999999</v>
      </c>
      <c r="N20" t="n">
        <v>1.1</v>
      </c>
      <c r="O20" t="n">
        <v>1.06</v>
      </c>
      <c r="P20" t="n">
        <v>0.83</v>
      </c>
      <c r="Q20" t="n">
        <v>1.04</v>
      </c>
      <c r="R20" t="n">
        <v>4.03</v>
      </c>
      <c r="S20">
        <f>IF(AND(ISNUMBER(R20),ISNUMBER(M20),M20&lt;&gt;0),(R20-M20)/M20,"-")</f>
        <v/>
      </c>
      <c r="T20" t="n">
        <v>0.91</v>
      </c>
      <c r="U20">
        <f>IF(AND(ISNUMBER(T20),ISNUMBER(N20),N20&lt;&gt;0),(T20-N20)/N20,"-")</f>
        <v/>
      </c>
      <c r="V20" t="n">
        <v>1.14</v>
      </c>
      <c r="W20">
        <f>IF(AND(ISNUMBER(V20),ISNUMBER(O20),O20&lt;&gt;0),(V20-O20)/O20,"-")</f>
        <v/>
      </c>
      <c r="X20" t="n">
        <v>0.88</v>
      </c>
      <c r="Y20">
        <f>IF(AND(ISNUMBER(X20),ISNUMBER(P20),P20&lt;&gt;0),(X20-P20)/P20,"-")</f>
        <v/>
      </c>
      <c r="Z20" t="inlineStr">
        <is>
          <t>26Q3 Cannington应付锌8.8kt=0.88万吨，同比+6%/环比-23%；South32 FY27Q1</t>
        </is>
      </c>
      <c r="AA20" t="inlineStr">
        <is>
          <t>4（FY26实际3.92超指引2%；FY27 ZnEq指引20.47万吨不变）</t>
        </is>
      </c>
    </row>
    <row r="21">
      <c r="A21" t="inlineStr">
        <is>
          <t>South32</t>
        </is>
      </c>
      <c r="B21" t="inlineStr">
        <is>
          <t>墨西哥</t>
        </is>
      </c>
      <c r="C21" t="inlineStr">
        <is>
          <t>Capela等</t>
        </is>
      </c>
      <c r="D21" t="n">
        <v>6.529999999999999</v>
      </c>
      <c r="E21" t="n">
        <v>7.45</v>
      </c>
      <c r="F21" t="n">
        <v>6.55</v>
      </c>
      <c r="G21" t="n">
        <v>7.67</v>
      </c>
      <c r="H21" t="n">
        <v>28.2</v>
      </c>
      <c r="I21" t="n">
        <v>6.7</v>
      </c>
      <c r="J21" t="n">
        <v>7.15</v>
      </c>
      <c r="K21" t="n">
        <v>7.12</v>
      </c>
      <c r="L21" t="n">
        <v>6.11</v>
      </c>
      <c r="M21" t="n">
        <v>0</v>
      </c>
      <c r="N21" t="n">
        <v>1.8</v>
      </c>
      <c r="O21" t="n">
        <v>2</v>
      </c>
      <c r="P21" t="n">
        <v>2</v>
      </c>
      <c r="Q21" t="n">
        <v>1.6</v>
      </c>
      <c r="R21" t="n">
        <v>7.4</v>
      </c>
      <c r="S21">
        <f>IF(AND(ISNUMBER(R21),ISNUMBER(M21),M21&lt;&gt;0),(R21-M21)/M21,"-")</f>
        <v/>
      </c>
      <c r="T21" t="n">
        <v>1.4</v>
      </c>
      <c r="U21">
        <f>IF(AND(ISNUMBER(T21),ISNUMBER(N21),N21&lt;&gt;0),(T21-N21)/N21,"-")</f>
        <v/>
      </c>
      <c r="V21" t="inlineStr">
        <is>
          <t>-</t>
        </is>
      </c>
      <c r="W21">
        <f>IF(AND(ISNUMBER(V21),ISNUMBER(O21),O21&lt;&gt;0),(V21-O21)/O21,"-")</f>
        <v/>
      </c>
      <c r="X21" t="inlineStr">
        <is>
          <t>-</t>
        </is>
      </c>
      <c r="Y21">
        <f>IF(AND(ISNUMBER(X21),ISNUMBER(P21),P21&lt;&gt;0),(X21-P21)/P21,"-")</f>
        <v/>
      </c>
      <c r="Z21" t="inlineStr">
        <is>
          <t>South32 FY26 Q4季报（2026-07-20，Investegate全文核对）锌资产仅Cannington(澳)+Hermosa Taylor(美,在建)，无任何墨西哥/Capela资产披露，26Q2无数可填</t>
        </is>
      </c>
      <c r="AB21" t="inlineStr">
        <is>
          <t>归属存疑（2026-08-31核）：South32资产组合中无墨西哥锌矿，「墨西哥Capela等」挂South32名下疑为历史错位；未擅自改历史行归属，26Q2标-</t>
        </is>
      </c>
    </row>
    <row r="22">
      <c r="A22" t="inlineStr">
        <is>
          <t>Ivanhoe</t>
        </is>
      </c>
      <c r="B22" t="inlineStr">
        <is>
          <t>刚果（金）</t>
        </is>
      </c>
      <c r="C22" t="inlineStr">
        <is>
          <t>Kipushi</t>
        </is>
      </c>
      <c r="I22" t="n">
        <v>0.05122794636556102</v>
      </c>
      <c r="J22" t="n">
        <v>0.05014820042342977</v>
      </c>
      <c r="K22" t="n">
        <v>0.06862385321100915</v>
      </c>
      <c r="L22" t="n">
        <v>3.23</v>
      </c>
      <c r="M22" t="n">
        <v>3.4</v>
      </c>
      <c r="N22" t="n">
        <v>4.27</v>
      </c>
      <c r="O22" t="n">
        <v>4.18</v>
      </c>
      <c r="P22" t="n">
        <v>5.72</v>
      </c>
      <c r="Q22" t="n">
        <v>6.14</v>
      </c>
      <c r="R22" t="n">
        <v>20.31</v>
      </c>
      <c r="S22">
        <f>IF(AND(ISNUMBER(R22),ISNUMBER(M22),M22&lt;&gt;0),(R22-M22)/M22,"-")</f>
        <v/>
      </c>
      <c r="T22" t="n">
        <v>6.5</v>
      </c>
      <c r="U22">
        <f>IF(AND(ISNUMBER(T22),ISNUMBER(N22),N22&lt;&gt;0),(T22-N22)/N22,"-")</f>
        <v/>
      </c>
      <c r="V22" t="n">
        <v>7.02</v>
      </c>
      <c r="W22">
        <f>IF(AND(ISNUMBER(V22),ISNUMBER(O22),O22&lt;&gt;0),(V22-O22)/O22,"-")</f>
        <v/>
      </c>
      <c r="X22" t="n">
        <v>7.71</v>
      </c>
      <c r="Y22" t="n">
        <v>34.9</v>
      </c>
      <c r="Z22" t="inlineStr">
        <is>
          <t>26Q3再创纪录7.71万吨(环比+10%)：入选品位41.6%与回收率96%双纪录，7月单月2.66万吨纪录；连续7个季度环比增长，年化约30.9万吨（Ivanhoe 10/8公告）</t>
        </is>
      </c>
      <c r="AA22" t="inlineStr">
        <is>
          <t>24-29万吨；C1 $0.85-0.95/lb；资本开支指引$60M(100%口径)；10/8公告：产量将奔指引上限</t>
        </is>
      </c>
    </row>
    <row r="23">
      <c r="A23" t="inlineStr">
        <is>
          <t>紫金矿业</t>
        </is>
      </c>
      <c r="B23" t="inlineStr">
        <is>
          <t>中国</t>
        </is>
      </c>
      <c r="C23" t="inlineStr">
        <is>
          <t>新疆紫金锌业/内蒙三贵口等</t>
        </is>
      </c>
      <c r="N23" t="n">
        <v>8.8215</v>
      </c>
      <c r="O23" t="n">
        <v>9.1431</v>
      </c>
      <c r="P23" t="n">
        <v>9.148099999999999</v>
      </c>
      <c r="Q23" t="n">
        <v>8.6326</v>
      </c>
      <c r="R23" t="n">
        <v>35.7453</v>
      </c>
      <c r="S23">
        <f>IF(AND(ISNUMBER(R23),ISNUMBER(M23),M23&lt;&gt;0),(R23-M23)/M23,"-")</f>
        <v/>
      </c>
      <c r="T23" t="n">
        <v>8.450900000000001</v>
      </c>
      <c r="U23">
        <f>IF(AND(ISNUMBER(T23),ISNUMBER(N23),N23&lt;&gt;0),(T23-N23)/N23,"-")</f>
        <v/>
      </c>
      <c r="V23" t="n">
        <v>9.241300000000001</v>
      </c>
      <c r="W23">
        <f>IF(AND(ISNUMBER(V23),ISNUMBER(O23),O23&lt;&gt;0),(V23-O23)/O23,"-")</f>
        <v/>
      </c>
      <c r="X23" t="n">
        <v>8.073600000000001</v>
      </c>
      <c r="Y23">
        <f>IF(AND(ISNUMBER(X23),ISNUMBER(P23),P23&lt;&gt;0),(X23-P23)/P23,"-")</f>
        <v/>
      </c>
      <c r="Z23" t="inlineStr">
        <is>
          <t>26Q3矿山产锌80,736吨=8.0736万吨；公司三季报直接披露单季值</t>
        </is>
      </c>
      <c r="AA23" t="inlineStr">
        <is>
          <t>矿产锌（铅）40万吨（公司规划为锌+铅合计口径）</t>
        </is>
      </c>
    </row>
    <row r="24">
      <c r="A24" t="inlineStr">
        <is>
          <t>Peñoles</t>
        </is>
      </c>
      <c r="B24" t="inlineStr">
        <is>
          <t>墨西哥</t>
        </is>
      </c>
      <c r="C24" t="inlineStr">
        <is>
          <t>墨西哥多矿(Fresnillo/Saucito/Tizapa等)</t>
        </is>
      </c>
      <c r="N24" t="n">
        <v>5.7698</v>
      </c>
      <c r="O24" t="n">
        <v>6.0148</v>
      </c>
      <c r="P24" t="n">
        <v>6.3166</v>
      </c>
      <c r="Q24" t="n">
        <v>6.9293</v>
      </c>
      <c r="R24" t="n">
        <v>25.0305</v>
      </c>
      <c r="S24">
        <f>IF(AND(ISNUMBER(R24),ISNUMBER(M24),M24&lt;&gt;0),(R24-M24)/M24,"-")</f>
        <v/>
      </c>
      <c r="T24" t="n">
        <v>6.6673</v>
      </c>
      <c r="U24">
        <f>IF(AND(ISNUMBER(T24),ISNUMBER(N24),N24&lt;&gt;0),(T24-N24)/N24,"-")</f>
        <v/>
      </c>
      <c r="V24" t="n">
        <v>6.8718</v>
      </c>
      <c r="W24">
        <f>IF(AND(ISNUMBER(V24),ISNUMBER(O24),O24&lt;&gt;0),(V24-O24)/O24,"-")</f>
        <v/>
      </c>
      <c r="X24" t="inlineStr">
        <is>
          <t>待发布(预计2026-10-26)</t>
        </is>
      </c>
      <c r="Y24">
        <f>IF(AND(ISNUMBER(X24),ISNUMBER(P24),P24&lt;&gt;0),(X24-P24)/P24,"-")</f>
        <v/>
      </c>
      <c r="Z24" t="inlineStr">
        <is>
          <t>官方Informe del Director 2T26口径(含Fresnillo 74.99%+Juanicipio 100%应付，非权益)；26Q2=6.8718万吨(68,718吨)同比+14.2%(主因Tizapa复产)/环比+3.1%。来源:penoles.com.mx Informe_Director_2T26_Eng.pdf(2026-08-04)</t>
        </is>
      </c>
    </row>
    <row r="25">
      <c r="A25" t="inlineStr">
        <is>
          <t>Volcan</t>
        </is>
      </c>
      <c r="B25" t="inlineStr">
        <is>
          <t>秘鲁</t>
        </is>
      </c>
      <c r="C25" t="inlineStr">
        <is>
          <t>Yauli/Chungar/Cerro de Pasco/Alpamarca</t>
        </is>
      </c>
      <c r="N25" t="n">
        <v>5.74</v>
      </c>
      <c r="O25" t="n">
        <v>5.88</v>
      </c>
      <c r="P25" t="n">
        <v>5.98</v>
      </c>
      <c r="Q25" t="n">
        <v>5.95</v>
      </c>
      <c r="R25" t="n">
        <v>23.55</v>
      </c>
      <c r="S25">
        <f>IF(AND(ISNUMBER(R25),ISNUMBER(M25),M25&lt;&gt;0),(R25-M25)/M25,"-")</f>
        <v/>
      </c>
      <c r="T25" t="n">
        <v>5.26</v>
      </c>
      <c r="U25">
        <f>IF(AND(ISNUMBER(T25),ISNUMBER(N25),N25&lt;&gt;0),(T25-N25)/N25,"-")</f>
        <v/>
      </c>
      <c r="V25" t="n">
        <v>5.59</v>
      </c>
      <c r="W25">
        <f>IF(AND(ISNUMBER(V25),ISNUMBER(O25),O25&lt;&gt;0),(V25-O25)/O25,"-")</f>
        <v/>
      </c>
      <c r="X25" t="inlineStr">
        <is>
          <t>待发布(预计2026-10月末)</t>
        </is>
      </c>
      <c r="Y25">
        <f>IF(AND(ISNUMBER(X25),ISNUMBER(P25),P25&lt;&gt;0),(X25-P25)/P25,"-")</f>
        <v/>
      </c>
      <c r="Z25" t="inlineStr">
        <is>
          <t>官方MD&amp;A口径（锌金属量）；25Q1/26Q1为官方累计值之差推算；Romina矿2026年6月投产爬产中（26Q2已产锌0.14万吨）</t>
        </is>
      </c>
    </row>
    <row r="26">
      <c r="A26" t="inlineStr">
        <is>
          <t>Southern Copper</t>
        </is>
      </c>
      <c r="B26" t="inlineStr">
        <is>
          <t>墨西哥/秘鲁</t>
        </is>
      </c>
      <c r="C26" t="inlineStr">
        <is>
          <t>Buenavista/IMMSA</t>
        </is>
      </c>
      <c r="N26" t="n">
        <v>3.9375</v>
      </c>
      <c r="O26" t="n">
        <v>4.5899</v>
      </c>
      <c r="P26" t="n">
        <v>4.5482</v>
      </c>
      <c r="Q26" t="n">
        <v>4.6223</v>
      </c>
      <c r="R26" t="n">
        <v>17.6979</v>
      </c>
      <c r="S26">
        <f>IF(AND(ISNUMBER(R26),ISNUMBER(M26),M26&lt;&gt;0),(R26-M26)/M26,"-")</f>
        <v/>
      </c>
      <c r="T26" t="n">
        <v>4.0164</v>
      </c>
      <c r="U26">
        <f>IF(AND(ISNUMBER(T26),ISNUMBER(N26),N26&lt;&gt;0),(T26-N26)/N26,"-")</f>
        <v/>
      </c>
      <c r="V26" t="n">
        <v>3.925</v>
      </c>
      <c r="W26">
        <f>IF(AND(ISNUMBER(V26),ISNUMBER(O26),O26&lt;&gt;0),(V26-O26)/O26,"-")</f>
        <v/>
      </c>
      <c r="X26" t="n">
        <v>4.188</v>
      </c>
      <c r="Y26">
        <f>IF(AND(ISNUMBER(X26),ISNUMBER(P26),P26&lt;&gt;0),(X26-P26)/P26,"-")</f>
        <v/>
      </c>
      <c r="Z26" t="inlineStr">
        <is>
          <t>26Q3矿产锌41,880吨=4.188万吨，同比-7.9%：Buenavista及IMMSA品位下降；SCCO 3Q26官方新闻稿</t>
        </is>
      </c>
      <c r="AA26" t="inlineStr">
        <is>
          <t>16.39万吨（2026年7月下调；1月16.55→4月16.68→7月16.39）</t>
        </is>
      </c>
    </row>
    <row r="27">
      <c r="A27" t="inlineStr">
        <is>
          <t>BHP</t>
        </is>
      </c>
      <c r="B27" t="inlineStr">
        <is>
          <t>秘鲁</t>
        </is>
      </c>
      <c r="C27" t="inlineStr">
        <is>
          <t>Antamina(33.75%权益)</t>
        </is>
      </c>
      <c r="N27" t="n">
        <v>2.6</v>
      </c>
      <c r="O27" t="n">
        <v>4.1</v>
      </c>
      <c r="P27" t="n">
        <v>3.6</v>
      </c>
      <c r="Q27" t="n">
        <v>2.7</v>
      </c>
      <c r="R27" t="n">
        <v>13</v>
      </c>
      <c r="S27">
        <f>IF(AND(ISNUMBER(R27),ISNUMBER(M27),M27&lt;&gt;0),(R27-M27)/M27,"-")</f>
        <v/>
      </c>
      <c r="T27" t="n">
        <v>1.8</v>
      </c>
      <c r="U27">
        <f>IF(AND(ISNUMBER(T27),ISNUMBER(N27),N27&lt;&gt;0),(T27-N27)/N27,"-")</f>
        <v/>
      </c>
      <c r="V27" t="n">
        <v>1.5</v>
      </c>
      <c r="W27">
        <f>IF(AND(ISNUMBER(V27),ISNUMBER(O27),O27&lt;&gt;0),(V27-O27)/O27,"-")</f>
        <v/>
      </c>
      <c r="X27" t="n">
        <v>1.1</v>
      </c>
      <c r="Y27">
        <f>IF(AND(ISNUMBER(X27),ISNUMBER(P27),P27&lt;&gt;0),(X27-P27)/P27,"-")</f>
        <v/>
      </c>
      <c r="Z27" t="inlineStr">
        <is>
          <t>26Q3 Antamina应付锌11kt=1.1万吨（33.75%权益），同比-70%：计划低品位；BHP FY27Q1</t>
        </is>
      </c>
      <c r="AA27" t="inlineStr">
        <is>
          <t>FY2026(止6月)9-11万吨(实际9.61万吨)；FY2027大降至3.5-5.5万吨（计划低品位）</t>
        </is>
      </c>
    </row>
    <row r="28">
      <c r="A28" t="inlineStr">
        <is>
          <t>Fresnillo</t>
        </is>
      </c>
      <c r="B28" t="inlineStr">
        <is>
          <t>墨西哥</t>
        </is>
      </c>
      <c r="C28" t="inlineStr">
        <is>
          <t>Fresnillo/Saucito/Juanicipio(56%)</t>
        </is>
      </c>
      <c r="N28" t="n">
        <v>2.5249</v>
      </c>
      <c r="O28" t="n">
        <v>2.8403</v>
      </c>
      <c r="P28" t="n">
        <v>2.4735</v>
      </c>
      <c r="Q28" t="n">
        <v>2.7528</v>
      </c>
      <c r="R28" t="n">
        <v>10.5915</v>
      </c>
      <c r="S28">
        <f>IF(AND(ISNUMBER(R28),ISNUMBER(M28),M28&lt;&gt;0),(R28-M28)/M28,"-")</f>
        <v/>
      </c>
      <c r="T28" t="n">
        <v>2.6126</v>
      </c>
      <c r="U28">
        <f>IF(AND(ISNUMBER(T28),ISNUMBER(N28),N28&lt;&gt;0),(T28-N28)/N28,"-")</f>
        <v/>
      </c>
      <c r="V28" t="n">
        <v>2.7672</v>
      </c>
      <c r="W28">
        <f>IF(AND(ISNUMBER(V28),ISNUMBER(O28),O28&lt;&gt;0),(V28-O28)/O28,"-")</f>
        <v/>
      </c>
      <c r="X28" t="n">
        <v>2.4906</v>
      </c>
      <c r="Y28">
        <f>IF(AND(ISNUMBER(X28),ISNUMBER(P28),P28&lt;&gt;0),(X28-P28)/P28,"-")</f>
        <v/>
      </c>
      <c r="Z28" t="inlineStr">
        <is>
          <t>26Q3权益锌24,906吨=2.4906万吨，同比+0.7%/环比-10%；Fresnillo 3Q26</t>
        </is>
      </c>
      <c r="AA28" t="inlineStr">
        <is>
          <t>8.5-9.5万吨（权益锌；2027展望9.3-10.3万吨）</t>
        </is>
      </c>
    </row>
    <row r="29">
      <c r="A29" t="inlineStr">
        <is>
          <t>Sibanye-Stillwater</t>
        </is>
      </c>
      <c r="B29" t="inlineStr">
        <is>
          <t>澳大利亚</t>
        </is>
      </c>
      <c r="C29" t="inlineStr">
        <is>
          <t>Century(尾矿再处理)</t>
        </is>
      </c>
      <c r="N29" t="n">
        <v>2.5</v>
      </c>
      <c r="O29" t="n">
        <v>2.6</v>
      </c>
      <c r="P29" t="n">
        <v>2.4</v>
      </c>
      <c r="Q29" t="n">
        <v>2.5</v>
      </c>
      <c r="R29" t="n">
        <v>10.1</v>
      </c>
      <c r="S29">
        <f>IF(AND(ISNUMBER(R29),ISNUMBER(M29),M29&lt;&gt;0),(R29-M29)/M29,"-")</f>
        <v/>
      </c>
      <c r="T29" t="n">
        <v>2</v>
      </c>
      <c r="U29">
        <f>IF(AND(ISNUMBER(T29),ISNUMBER(N29),N29&lt;&gt;0),(T29-N29)/N29,"-")</f>
        <v/>
      </c>
      <c r="V29" t="n">
        <v>2.5</v>
      </c>
      <c r="W29">
        <f>IF(AND(ISNUMBER(V29),ISNUMBER(O29),O29&lt;&gt;0),(V29-O29)/O29,"-")</f>
        <v/>
      </c>
      <c r="X29" t="inlineStr">
        <is>
          <t>待发布(预计2026-10月末Q3经营更新)</t>
        </is>
      </c>
      <c r="Y29">
        <f>IF(AND(ISNUMBER(X29),ISNUMBER(P29),P29&lt;&gt;0),(X29-P29)/P29,"-")</f>
        <v/>
      </c>
      <c r="Z29" t="inlineStr">
        <is>
          <t>26Q2=2.5万吨（推导值：H1 2026 Century应付锌45kt[8/27经营更新] − 26Q1 20kt[已披露] = 25kt；Q2单季未直接披露，9/1正式中报后复核）。FY2025 Century应付锌101kt(+22%超指引上限97.8kt)。源：Sibanye 8/27经营更新 + 2025年报(2/20)</t>
        </is>
      </c>
      <c r="AA29" t="inlineStr">
        <is>
          <t>8.63-9.83万吨(payable)</t>
        </is>
      </c>
    </row>
    <row r="30">
      <c r="A30" t="inlineStr">
        <is>
          <t>KAZ Minerals</t>
        </is>
      </c>
      <c r="B30" t="inlineStr">
        <is>
          <t>哈萨克斯坦</t>
        </is>
      </c>
      <c r="C30" t="inlineStr">
        <is>
          <t>East Region多金属矿(Nikolayevsky等)</t>
        </is>
      </c>
      <c r="N30" t="n">
        <v>0.93</v>
      </c>
      <c r="O30" t="n">
        <v>1.11</v>
      </c>
      <c r="P30" t="n">
        <v>1.39</v>
      </c>
      <c r="Q30" t="n">
        <v>1.95</v>
      </c>
      <c r="R30" t="n">
        <v>5.38</v>
      </c>
      <c r="S30">
        <f>IF(AND(ISNUMBER(R30),ISNUMBER(M30),M30&lt;&gt;0),(R30-M30)/M30,"-")</f>
        <v/>
      </c>
      <c r="T30" t="n">
        <v>1.04</v>
      </c>
      <c r="U30">
        <f>IF(AND(ISNUMBER(T30),ISNUMBER(N30),N30&lt;&gt;0),(T30-N30)/N30,"-")</f>
        <v/>
      </c>
      <c r="V30" t="n">
        <v>1.13</v>
      </c>
      <c r="W30">
        <f>IF(AND(ISNUMBER(V30),ISNUMBER(O30),O30&lt;&gt;0),(V30-O30)/O30,"-")</f>
        <v/>
      </c>
      <c r="X30" t="inlineStr">
        <is>
          <t>待发布(预计2026-10月末)</t>
        </is>
      </c>
      <c r="Y30">
        <f>IF(AND(ISNUMBER(X30),ISNUMBER(P30),P30&lt;&gt;0),(X30-P30)/P30,"-")</f>
        <v/>
      </c>
      <c r="Z30" t="inlineStr">
        <is>
          <t>26Q2 精矿含锌 11.3kt=1.13 万吨（+9% QoQ，处理量提升）；H1 21.7kt（+6%，品位改善）。源：KAZ Q2 2026 生产报告（8/11，SMM 快讯）</t>
        </is>
      </c>
    </row>
    <row r="31">
      <c r="A31" t="inlineStr">
        <is>
          <t>Pan American Silver</t>
        </is>
      </c>
      <c r="B31" t="inlineStr">
        <is>
          <t>秘鲁/墨西哥等</t>
        </is>
      </c>
      <c r="C31" t="inlineStr">
        <is>
          <t>Huaron/La Colorada/Juanicipio(44%)</t>
        </is>
      </c>
      <c r="N31" t="n">
        <v>1.4</v>
      </c>
      <c r="O31" t="n">
        <v>1.26</v>
      </c>
      <c r="P31" t="n">
        <v>1.26</v>
      </c>
      <c r="Q31" t="n">
        <v>1.68</v>
      </c>
      <c r="R31" t="n">
        <v>5.59</v>
      </c>
      <c r="S31">
        <f>IF(AND(ISNUMBER(R31),ISNUMBER(M31),M31&lt;&gt;0),(R31-M31)/M31,"-")</f>
        <v/>
      </c>
      <c r="T31" t="n">
        <v>1.26</v>
      </c>
      <c r="U31">
        <f>IF(AND(ISNUMBER(T31),ISNUMBER(N31),N31&lt;&gt;0),(T31-N31)/N31,"-")</f>
        <v/>
      </c>
      <c r="V31" t="n">
        <v>1.56</v>
      </c>
      <c r="W31">
        <f>IF(AND(ISNUMBER(V31),ISNUMBER(O31),O31&lt;&gt;0),(V31-O31)/O31,"-")</f>
        <v/>
      </c>
      <c r="X31" t="inlineStr">
        <is>
          <t>待发布(2026-11-04)</t>
        </is>
      </c>
      <c r="Y31">
        <f>IF(AND(ISNUMBER(X31),ISNUMBER(P31),P31&lt;&gt;0),(X31-P31)/P31,"-")</f>
        <v/>
      </c>
      <c r="Z31" t="inlineStr">
        <is>
          <t>26Q2 锌产量 15.6kt=1.56 万吨（Q1 12.6kt）；权益口径。源：Pan American Silver Q2 2026（8/12）</t>
        </is>
      </c>
      <c r="AA31" t="inlineStr">
        <is>
          <t>5.85-6.25万吨（权益）</t>
        </is>
      </c>
    </row>
    <row r="32">
      <c r="A32" t="inlineStr">
        <is>
          <t>Buenaventura</t>
        </is>
      </c>
      <c r="B32" t="inlineStr">
        <is>
          <t>秘鲁</t>
        </is>
      </c>
      <c r="C32" t="inlineStr">
        <is>
          <t>Uchucchacua/Tambomayo</t>
        </is>
      </c>
      <c r="N32" t="n">
        <v>0.5799</v>
      </c>
      <c r="O32" t="n">
        <v>0.775</v>
      </c>
      <c r="P32" t="n">
        <v>0.699</v>
      </c>
      <c r="Q32" t="n">
        <v>0.8481</v>
      </c>
      <c r="R32" t="n">
        <v>2.902</v>
      </c>
      <c r="S32">
        <f>IF(AND(ISNUMBER(R32),ISNUMBER(M32),M32&lt;&gt;0),(R32-M32)/M32,"-")</f>
        <v/>
      </c>
      <c r="T32" t="n">
        <v>0.738</v>
      </c>
      <c r="U32">
        <f>IF(AND(ISNUMBER(T32),ISNUMBER(N32),N32&lt;&gt;0),(T32-N32)/N32,"-")</f>
        <v/>
      </c>
      <c r="V32" t="n">
        <v>0.736</v>
      </c>
      <c r="W32">
        <f>IF(AND(ISNUMBER(V32),ISNUMBER(O32),O32&lt;&gt;0),(V32-O32)/O32,"-")</f>
        <v/>
      </c>
      <c r="X32" t="n">
        <v>0.6938</v>
      </c>
      <c r="Y32">
        <f>IF(AND(ISNUMBER(X32),ISNUMBER(P32),P32&lt;&gt;0),(X32-P32)/P32,"-")</f>
        <v/>
      </c>
      <c r="Z32" t="inlineStr">
        <is>
          <t>26Q3直接运营锌6,938吨=0.6938万吨（Uchucchacua 6,433+Tambomayo 505）；Buenaventura 6-K</t>
        </is>
      </c>
      <c r="AA32" t="inlineStr">
        <is>
          <t>2.86-3.18万吨（2026年7月更新，原2.78-3.10）</t>
        </is>
      </c>
    </row>
    <row r="33">
      <c r="A33" t="inlineStr">
        <is>
          <t>Adriatic Metals</t>
        </is>
      </c>
      <c r="B33" t="inlineStr">
        <is>
          <t>波黑</t>
        </is>
      </c>
      <c r="C33" t="inlineStr">
        <is>
          <t>Vares(Rupice)</t>
        </is>
      </c>
      <c r="N33" t="n">
        <v>0.2419</v>
      </c>
      <c r="O33" t="n">
        <v>0.3209</v>
      </c>
      <c r="P33" t="n">
        <v>0.55</v>
      </c>
      <c r="Q33" t="n">
        <v>0.37</v>
      </c>
      <c r="R33" t="n">
        <v>1.84</v>
      </c>
      <c r="S33">
        <f>IF(AND(ISNUMBER(R33),ISNUMBER(M33),M33&lt;&gt;0),(R33-M33)/M33,"-")</f>
        <v/>
      </c>
      <c r="T33" t="n">
        <v>0.4536</v>
      </c>
      <c r="U33">
        <f>IF(AND(ISNUMBER(T33),ISNUMBER(N33),N33&lt;&gt;0),(T33-N33)/N33,"-")</f>
        <v/>
      </c>
      <c r="V33" t="n">
        <v>0.6486</v>
      </c>
      <c r="W33">
        <f>IF(AND(ISNUMBER(V33),ISNUMBER(O33),O33&lt;&gt;0),(V33-O33)/O33,"-")</f>
        <v/>
      </c>
      <c r="X33" t="n">
        <v>1.27008</v>
      </c>
      <c r="Y33">
        <f>IF(AND(ISNUMBER(X33),ISNUMBER(P33),P33&lt;&gt;0),(X33-P33)/P33,"-")</f>
        <v/>
      </c>
      <c r="Z33" t="inlineStr">
        <is>
          <t>26Q3 Vareš精矿含锌28Mlb=12,700.8吨=1.2701万吨，爬产强於预期；DPM 10/8初步产量公告</t>
        </is>
      </c>
      <c r="AA33" t="inlineStr">
        <is>
          <t>DPM 2026精矿含锌59-71Mlbs≈2.68-3.22万吨</t>
        </is>
      </c>
    </row>
    <row r="34">
      <c r="A34" t="inlineStr">
        <is>
          <t>Hudbay</t>
        </is>
      </c>
      <c r="B34" t="inlineStr">
        <is>
          <t>加拿大</t>
        </is>
      </c>
      <c r="C34" t="inlineStr">
        <is>
          <t>Manitoba(Lalor)</t>
        </is>
      </c>
      <c r="N34" t="n">
        <v>0.6264999999999999</v>
      </c>
      <c r="O34" t="n">
        <v>0.513</v>
      </c>
      <c r="P34" t="n">
        <v>0.0548</v>
      </c>
      <c r="Q34" t="n">
        <v>0.5703</v>
      </c>
      <c r="R34" t="n">
        <v>1.7646</v>
      </c>
      <c r="S34">
        <f>IF(AND(ISNUMBER(R34),ISNUMBER(M34),M34&lt;&gt;0),(R34-M34)/M34,"-")</f>
        <v/>
      </c>
      <c r="T34" t="n">
        <v>0.4565</v>
      </c>
      <c r="U34">
        <f>IF(AND(ISNUMBER(T34),ISNUMBER(N34),N34&lt;&gt;0),(T34-N34)/N34,"-")</f>
        <v/>
      </c>
      <c r="V34" t="n">
        <v>0.476</v>
      </c>
      <c r="W34">
        <f>IF(AND(ISNUMBER(V34),ISNUMBER(O34),O34&lt;&gt;0),(V34-O34)/O34,"-")</f>
        <v/>
      </c>
      <c r="X34" t="inlineStr">
        <is>
          <t>待发布(2026-11-12)</t>
        </is>
      </c>
      <c r="Y34">
        <f>IF(AND(ISNUMBER(X34),ISNUMBER(P34),P34&lt;&gt;0),(X34-P34)/P34,"-")</f>
        <v/>
      </c>
      <c r="Z34" t="inlineStr">
        <is>
          <t>官方新闻稿口径；25Q3曼尼托巴野火强制撤离停产约两个月（仅548吨）；26Q2环比+4.3%（Lalor品位回升）</t>
        </is>
      </c>
      <c r="AA34" t="inlineStr">
        <is>
          <t>1.85万吨</t>
        </is>
      </c>
    </row>
    <row r="35">
      <c r="A35" t="inlineStr">
        <is>
          <t>Lundin Mining</t>
        </is>
      </c>
      <c r="B35" t="inlineStr">
        <is>
          <t>加拿大</t>
        </is>
      </c>
      <c r="C35" t="inlineStr">
        <is>
          <t>—（锌资产已剥离）</t>
        </is>
      </c>
      <c r="S35">
        <f>IF(AND(ISNUMBER(R35),ISNUMBER(M35),M35&lt;&gt;0),(R35-M35)/M35,"-")</f>
        <v/>
      </c>
      <c r="U35">
        <f>IF(AND(ISNUMBER(T35),ISNUMBER(N35),N35&lt;&gt;0),(T35-N35)/N35,"-")</f>
        <v/>
      </c>
      <c r="W35">
        <f>IF(AND(ISNUMBER(V35),ISNUMBER(O35),O35&lt;&gt;0),(V35-O35)/O35,"-")</f>
        <v/>
      </c>
      <c r="Y35">
        <f>IF(AND(ISNUMBER(X35),ISNUMBER(P35),P35&lt;&gt;0),(X35-P35)/P35,"-")</f>
        <v/>
      </c>
      <c r="Z35" t="inlineStr">
        <is>
          <t>锌资产（Neves-Corvo/Zinkgruvan）2025-04-16出售给Boliden交割完成，退出跟踪；两矿25Q1(4.89万吨)/25Q2交割前残段(0.93万吨)原属Lundin，平台该两矿历史数据已在Boliden行，此行留空防双计</t>
        </is>
      </c>
    </row>
    <row r="36">
      <c r="A36" t="inlineStr">
        <is>
          <t>Sierra Metals</t>
        </is>
      </c>
      <c r="B36" t="inlineStr">
        <is>
          <t>秘鲁/墨西哥</t>
        </is>
      </c>
      <c r="C36" t="inlineStr">
        <is>
          <t>Yauricocha(锌)/Bolivar</t>
        </is>
      </c>
      <c r="N36" t="n">
        <v>0.4913</v>
      </c>
      <c r="S36">
        <f>IF(AND(ISNUMBER(R36),ISNUMBER(M36),M36&lt;&gt;0),(R36-M36)/M36,"-")</f>
        <v/>
      </c>
      <c r="U36">
        <f>IF(AND(ISNUMBER(T36),ISNUMBER(N36),N36&lt;&gt;0),(T36-N36)/N36,"-")</f>
        <v/>
      </c>
      <c r="V36" t="inlineStr">
        <is>
          <t>-</t>
        </is>
      </c>
      <c r="W36">
        <f>IF(AND(ISNUMBER(V36),ISNUMBER(O36),O36&lt;&gt;0),(V36-O36)/O36,"-")</f>
        <v/>
      </c>
      <c r="Y36">
        <f>IF(AND(ISNUMBER(X36),ISNUMBER(P36),P36&lt;&gt;0),(X36-P36)/P36,"-")</f>
        <v/>
      </c>
      <c r="Z36" t="inlineStr">
        <is>
          <t>官方25Q1=4,913吨（精矿含锌，全部Yauricocha）；2025-08-01 Alpayana私有化完成、08-06 TSX退市，退出跟踪；退市后无公开季报（Yauricocha运营主体Corona仍在BVL披露财报）；券商表2025Y=2.54未核实</t>
        </is>
      </c>
    </row>
    <row r="37">
      <c r="A37" t="inlineStr">
        <is>
          <t>Almina</t>
        </is>
      </c>
      <c r="B37" t="inlineStr">
        <is>
          <t>葡萄牙</t>
        </is>
      </c>
      <c r="C37" t="inlineStr">
        <is>
          <t>Aljustrel</t>
        </is>
      </c>
      <c r="S37">
        <f>IF(AND(ISNUMBER(R37),ISNUMBER(M37),M37&lt;&gt;0),(R37-M37)/M37,"-")</f>
        <v/>
      </c>
      <c r="U37">
        <f>IF(AND(ISNUMBER(T37),ISNUMBER(N37),N37&lt;&gt;0),(T37-N37)/N37,"-")</f>
        <v/>
      </c>
      <c r="W37">
        <f>IF(AND(ISNUMBER(V37),ISNUMBER(O37),O37&lt;&gt;0),(V37-O37)/O37,"-")</f>
        <v/>
      </c>
      <c r="Y37">
        <f>IF(AND(ISNUMBER(X37),ISNUMBER(P37),P37&lt;&gt;0),(X37-P37)/P37,"-")</f>
        <v/>
      </c>
      <c r="Z37" t="inlineStr">
        <is>
          <t>Aljustrel矿2025Q3复产（Wheaton季报旁证）；私营公司无季度产量披露，各季数据未找到；券商跟踪表2026E=7.50万吨为预估；历史量级约年产锌10万吨（2022年）；2026年6月4亿欧元扩建落成</t>
        </is>
      </c>
    </row>
    <row r="38">
      <c r="A38" t="inlineStr">
        <is>
          <t>Mehdiabad</t>
        </is>
      </c>
      <c r="B38" t="inlineStr">
        <is>
          <t>伊朗</t>
        </is>
      </c>
      <c r="C38" t="inlineStr">
        <is>
          <t>Mehdiabad(亚兹德)</t>
        </is>
      </c>
      <c r="S38">
        <f>IF(AND(ISNUMBER(R38),ISNUMBER(M38),M38&lt;&gt;0),(R38-M38)/M38,"-")</f>
        <v/>
      </c>
      <c r="U38">
        <f>IF(AND(ISNUMBER(T38),ISNUMBER(N38),N38&lt;&gt;0),(T38-N38)/N38,"-")</f>
        <v/>
      </c>
      <c r="W38">
        <f>IF(AND(ISNUMBER(V38),ISNUMBER(O38),O38&lt;&gt;0),(V38-O38)/O38,"-")</f>
        <v/>
      </c>
      <c r="Y38">
        <f>IF(AND(ISNUMBER(X38),ISNUMBER(P38),P38&lt;&gt;0),(X38-P38)/P38,"-")</f>
        <v/>
      </c>
      <c r="Z38" t="inlineStr">
        <is>
          <t>非上市公司无季报；USGS 2023年氧化锌矿石30.3万吨（实物吨非金属量，注意口径陷阱）；券商跟踪表2026E=4.00万吨为下调后预估，待核实</t>
        </is>
      </c>
    </row>
    <row r="39">
      <c r="A39" t="inlineStr">
        <is>
          <t>Silvercorp Metals</t>
        </is>
      </c>
      <c r="B39" t="inlineStr">
        <is>
          <t>加拿大</t>
        </is>
      </c>
      <c r="C39" t="inlineStr">
        <is>
          <t>中国Ying矿区（铅锌银）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n">
        <v>0.2359</v>
      </c>
      <c r="P39" t="inlineStr">
        <is>
          <t>-</t>
        </is>
      </c>
      <c r="Q39" t="inlineStr">
        <is>
          <t>-</t>
        </is>
      </c>
      <c r="S39">
        <f>IF(AND(ISNUMBER(R39),ISNUMBER(M39),M39&lt;&gt;0),(R39-M39)/M39,"-")</f>
        <v/>
      </c>
      <c r="T39" t="inlineStr">
        <is>
          <t>-</t>
        </is>
      </c>
      <c r="U39">
        <f>IF(AND(ISNUMBER(T39),ISNUMBER(N39),N39&lt;&gt;0),(T39-N39)/N39,"-")</f>
        <v/>
      </c>
      <c r="V39" t="n">
        <v>0.1996</v>
      </c>
      <c r="W39">
        <f>IF(AND(ISNUMBER(V39),ISNUMBER(O39),O39&lt;&gt;0),(V39-O39)/O39,"-")</f>
        <v/>
      </c>
      <c r="X39" t="n">
        <v>0.036288</v>
      </c>
      <c r="Y39">
        <f>IF(AND(ISNUMBER(X39),ISNUMBER(P39),P39&lt;&gt;0),(X39-P39)/P39,"-")</f>
        <v/>
      </c>
      <c r="Z39" t="inlineStr">
        <is>
          <t>26Q3(FY27Q2)锌0.8Mlb（Ying 0.7+GC 0.1）=362.9吨=0.0363万吨，安全整改及GC停产影响；Silvercorp 10/19</t>
        </is>
      </c>
      <c r="AB39" t="inlineStr">
        <is>
          <t>锌精矿含锌量；财年止3月（FY Q4=自然Q1）；季报（TSX/NYSE）；铅目录同步建行；2026-08-18新增骨架行，数据待回填；源：Silvercorp 6-K 2026-07-15（SEC）；磅×0.0004536=吨</t>
        </is>
      </c>
    </row>
    <row r="40">
      <c r="A40" t="inlineStr">
        <is>
          <t>Central Asia Metals</t>
        </is>
      </c>
      <c r="B40" t="inlineStr">
        <is>
          <t>英国</t>
        </is>
      </c>
      <c r="C40" t="inlineStr">
        <is>
          <t>北马其顿Sasa（铅锌）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n">
        <v>0.4088</v>
      </c>
      <c r="P40" t="inlineStr">
        <is>
          <t>-</t>
        </is>
      </c>
      <c r="Q40" t="inlineStr">
        <is>
          <t>-</t>
        </is>
      </c>
      <c r="S40">
        <f>IF(AND(ISNUMBER(R40),ISNUMBER(M40),M40&lt;&gt;0),(R40-M40)/M40,"-")</f>
        <v/>
      </c>
      <c r="T40" t="n">
        <v>0.4282</v>
      </c>
      <c r="U40">
        <f>IF(AND(ISNUMBER(T40),ISNUMBER(N40),N40&lt;&gt;0),(T40-N40)/N40,"-")</f>
        <v/>
      </c>
      <c r="V40" t="n">
        <v>0.4812</v>
      </c>
      <c r="W40">
        <f>IF(AND(ISNUMBER(V40),ISNUMBER(O40),O40&lt;&gt;0),(V40-O40)/O40,"-")</f>
        <v/>
      </c>
      <c r="X40" t="n">
        <v>0.4968</v>
      </c>
      <c r="Y40">
        <f>IF(AND(ISNUMBER(X40),ISNUMBER(P40),P40&lt;&gt;0),(X40-P40)/P40,"-")</f>
        <v/>
      </c>
      <c r="Z40" t="inlineStr">
        <is>
          <t>26Q3 Sasa锌精矿含锌4,968吨=0.4968万吨，同比+18%：品位及采选量提升；CAML Q3 RNS</t>
        </is>
      </c>
      <c r="AB40" t="inlineStr">
        <is>
          <t>锌精矿含锌量；自然年；季报（LSE）；铅目录同步建行；2026-08-18新增骨架行，数据待回填</t>
        </is>
      </c>
    </row>
    <row r="41">
      <c r="A41" t="inlineStr">
        <is>
          <t>Hecla Mining</t>
        </is>
      </c>
      <c r="B41" t="inlineStr">
        <is>
          <t>美国</t>
        </is>
      </c>
      <c r="C41" t="inlineStr">
        <is>
          <t>Greens Creek+Lucky Friday（铅锌银副产）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S41">
        <f>IF(AND(ISNUMBER(R41),ISNUMBER(M41),M41&lt;&gt;0),(R41-M41)/M41,"-")</f>
        <v/>
      </c>
      <c r="T41" t="inlineStr">
        <is>
          <t>-</t>
        </is>
      </c>
      <c r="U41">
        <f>IF(AND(ISNUMBER(T41),ISNUMBER(N41),N41&lt;&gt;0),(T41-N41)/N41,"-")</f>
        <v/>
      </c>
      <c r="V41" t="inlineStr">
        <is>
          <t>-</t>
        </is>
      </c>
      <c r="W41">
        <f>IF(AND(ISNUMBER(V41),ISNUMBER(O41),O41&lt;&gt;0),(V41-O41)/O41,"-")</f>
        <v/>
      </c>
      <c r="X41" t="inlineStr">
        <is>
          <t>待发布(预计2026-11上旬)</t>
        </is>
      </c>
      <c r="Y41">
        <f>IF(AND(ISNUMBER(X41),ISNUMBER(P41),P41&lt;&gt;0),(X41-P41)/P41,"-")</f>
        <v/>
      </c>
      <c r="Z41" t="inlineStr">
        <is>
          <t>Hecla 2Q26(8/4)仅披露银/金金属量+精矿吨数（GC锌精矿17,990吨+LF锌精矿6,527吨），不再披露锌含金属量</t>
        </is>
      </c>
      <c r="AB41" t="inlineStr">
        <is>
          <t>锌精矿含锌量；自然年；季报（NYSE）≈季后3-4周；铅目录同步建行；2026-08-18新增骨架行，数据待回填；源：Hecla 2Q26 业绩新闻稿（8-K ex99.1）；含金属量口径缺官方值</t>
        </is>
      </c>
    </row>
    <row r="42">
      <c r="A42" t="inlineStr">
        <is>
          <t>西部矿业</t>
        </is>
      </c>
      <c r="B42" t="inlineStr">
        <is>
          <t>中国</t>
        </is>
      </c>
      <c r="C42" t="inlineStr">
        <is>
          <t>铅锌精矿含锌（锡铁山/获各琦等）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S42">
        <f>IF(AND(ISNUMBER(R42),ISNUMBER(M42),M42&lt;&gt;0),(R42-M42)/M42,"-")</f>
        <v/>
      </c>
      <c r="T42" t="n">
        <v>3.1953</v>
      </c>
      <c r="U42">
        <f>IF(AND(ISNUMBER(T42),ISNUMBER(N42),N42&lt;&gt;0),(T42-N42)/N42,"-")</f>
        <v/>
      </c>
      <c r="V42" t="n">
        <v>3.1953</v>
      </c>
      <c r="W42">
        <f>IF(AND(ISNUMBER(V42),ISNUMBER(O42),O42&lt;&gt;0),(V42-O42)/O42,"-")</f>
        <v/>
      </c>
      <c r="X42" t="inlineStr">
        <is>
          <t>待发布(预计2026-10月末)</t>
        </is>
      </c>
      <c r="Y42">
        <f>IF(AND(ISNUMBER(X42),ISNUMBER(P42),P42&lt;&gt;0),(X42-P42)/P42,"-")</f>
        <v/>
      </c>
      <c r="Z42" t="inlineStr">
        <is>
          <t>中报（7/30）：H1 矿产锌 63,906 吨=6.3906 万吨（半年口径，未拆季）。源：西部矿业 2026 半年度报告（巨潮 1225446414）</t>
        </is>
      </c>
      <c r="AB42" t="inlineStr">
        <is>
          <t>跨品种修正：原仅铅目录；A股年报+中报披露（季报无产量）；2026-08-18新增骨架行，数据待回填；中报H1矿产锌6.3906万吨，Q1未披露，两季平分拟合</t>
        </is>
      </c>
    </row>
    <row r="43">
      <c r="A43" t="inlineStr">
        <is>
          <t>华钰矿业</t>
        </is>
      </c>
      <c r="B43" t="inlineStr">
        <is>
          <t>中国</t>
        </is>
      </c>
      <c r="C43" t="inlineStr">
        <is>
          <t>铅锌锑精矿含锌（塔铝金业/扎西康）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S43">
        <f>IF(AND(ISNUMBER(R43),ISNUMBER(M43),M43&lt;&gt;0),(R43-M43)/M43,"-")</f>
        <v/>
      </c>
      <c r="T43" t="inlineStr">
        <is>
          <t>-</t>
        </is>
      </c>
      <c r="U43">
        <f>IF(AND(ISNUMBER(T43),ISNUMBER(N43),N43&lt;&gt;0),(T43-N43)/N43,"-")</f>
        <v/>
      </c>
      <c r="V43" t="n">
        <v>0.3213</v>
      </c>
      <c r="W43">
        <f>IF(AND(ISNUMBER(V43),ISNUMBER(O43),O43&lt;&gt;0),(V43-O43)/O43,"-")</f>
        <v/>
      </c>
      <c r="X43" t="inlineStr">
        <is>
          <t>待发布(2026-10-31)</t>
        </is>
      </c>
      <c r="Y43">
        <f>IF(AND(ISNUMBER(X43),ISNUMBER(P43),P43&lt;&gt;0),(X43-P43)/P43,"-")</f>
        <v/>
      </c>
      <c r="Z43" t="inlineStr">
        <is>
          <t>26Q2单季锌精矿产量3,212.51金属吨=0.3213万吨（经营公告直接披露口径）；26Q1未披露保持'-'（A股季报不披露产量）</t>
        </is>
      </c>
      <c r="AB43" t="inlineStr">
        <is>
          <t>跨品种修正：原仅铅目录；A股年报+中报披露（季报无产量）；2026-08-18新增骨架行，数据待回填</t>
        </is>
      </c>
    </row>
    <row r="44">
      <c r="A44" t="inlineStr">
        <is>
          <t>NEXA</t>
        </is>
      </c>
      <c r="B44" t="inlineStr">
        <is>
          <t>秘鲁</t>
        </is>
      </c>
      <c r="C44" t="inlineStr">
        <is>
          <t>El Porvenir</t>
        </is>
      </c>
      <c r="T44" t="n">
        <v>1</v>
      </c>
      <c r="U44">
        <f>IF(AND(ISNUMBER(T44),ISNUMBER(N44),N44&lt;&gt;0),(T44-N44)/N44,"-")</f>
        <v/>
      </c>
      <c r="V44" t="n">
        <v>1.31</v>
      </c>
      <c r="W44">
        <f>IF(AND(ISNUMBER(V44),ISNUMBER(P44),P44&lt;&gt;0),(V44-P44)/P44,"-")</f>
        <v/>
      </c>
      <c r="X44" t="inlineStr">
        <is>
          <t>待发布(2026-10-29)</t>
        </is>
      </c>
      <c r="Y44">
        <f>IF(AND(ISNUMBER(X44),ISNUMBER(P44),P44&lt;&gt;0),(X44-P44)/P44,"-")</f>
        <v/>
      </c>
      <c r="Z44" t="inlineStr">
        <is>
          <t>2Q26：同比-3.7%，Q1扰动后恢复</t>
        </is>
      </c>
      <c r="AB44" t="inlineStr">
        <is>
          <t>来源：Nexa 2Q26 Production Report（SEC EDGAR 6-K ex99-1，2026-08-05）；2026-08-23 补录</t>
        </is>
      </c>
    </row>
    <row r="45">
      <c r="A45" t="inlineStr">
        <is>
          <t>NEXA</t>
        </is>
      </c>
      <c r="B45" t="inlineStr">
        <is>
          <t>秘鲁</t>
        </is>
      </c>
      <c r="C45" t="inlineStr">
        <is>
          <t>Atacocha</t>
        </is>
      </c>
      <c r="T45" t="n">
        <v>0.22</v>
      </c>
      <c r="U45">
        <f>IF(AND(ISNUMBER(T45),ISNUMBER(N45),N45&lt;&gt;0),(T45-N45)/N45,"-")</f>
        <v/>
      </c>
      <c r="V45" t="n">
        <v>0.3</v>
      </c>
      <c r="W45">
        <f>IF(AND(ISNUMBER(V45),ISNUMBER(P45),P45&lt;&gt;0),(V45-P45)/P45,"-")</f>
        <v/>
      </c>
      <c r="X45" t="inlineStr">
        <is>
          <t>待发布(2026-10-29)</t>
        </is>
      </c>
      <c r="Y45">
        <f>IF(AND(ISNUMBER(X45),ISNUMBER(P45),P45&lt;&gt;0),(X45-P45)/P45,"-")</f>
        <v/>
      </c>
      <c r="Z45" t="inlineStr">
        <is>
          <t>2Q26：同比-4.2%</t>
        </is>
      </c>
      <c r="AB45" t="inlineStr">
        <is>
          <t>来源：Nexa 2Q26 Production Report（SEC EDGAR 6-K ex99-1，2026-08-05）；2026-08-23 补录</t>
        </is>
      </c>
    </row>
    <row r="46">
      <c r="A46" t="inlineStr">
        <is>
          <t>NEXA</t>
        </is>
      </c>
      <c r="B46" t="inlineStr">
        <is>
          <t>巴西</t>
        </is>
      </c>
      <c r="C46" t="inlineStr">
        <is>
          <t>Aripuanã</t>
        </is>
      </c>
      <c r="T46" t="n">
        <v>1.3</v>
      </c>
      <c r="U46">
        <f>IF(AND(ISNUMBER(T46),ISNUMBER(N46),N46&lt;&gt;0),(T46-N46)/N46,"-")</f>
        <v/>
      </c>
      <c r="V46" t="n">
        <v>0.88</v>
      </c>
      <c r="W46">
        <f>IF(AND(ISNUMBER(V46),ISNUMBER(P46),P46&lt;&gt;0),(V46-P46)/P46,"-")</f>
        <v/>
      </c>
      <c r="X46" t="inlineStr">
        <is>
          <t>待发布(2026-10-29)</t>
        </is>
      </c>
      <c r="Y46">
        <f>IF(AND(ISNUMBER(X46),ISNUMBER(P46),P46&lt;&gt;0),(X46-P46)/P46,"-")</f>
        <v/>
      </c>
      <c r="Z46" t="inlineStr">
        <is>
          <t>2Q26：同比+43.8%；Q1创纪录13kt，Q2尾矿过滤机投产过渡季</t>
        </is>
      </c>
      <c r="AB46" t="inlineStr">
        <is>
          <t>来源：Nexa 2Q26 Production Report（SEC EDGAR 6-K ex99-1，2026-08-05）；2026-08-23 补录</t>
        </is>
      </c>
    </row>
    <row r="47">
      <c r="A47" t="inlineStr">
        <is>
          <t>总计</t>
        </is>
      </c>
      <c r="D47">
        <f>SUM(D2:D46)</f>
        <v/>
      </c>
      <c r="E47">
        <f>SUM(E2:E46)</f>
        <v/>
      </c>
      <c r="F47">
        <f>SUM(F2:F46)</f>
        <v/>
      </c>
      <c r="G47">
        <f>SUM(G2:G46)</f>
        <v/>
      </c>
      <c r="H47">
        <f>SUM(H2:H46)</f>
        <v/>
      </c>
      <c r="I47">
        <f>SUM(I2:I46)</f>
        <v/>
      </c>
      <c r="J47">
        <f>SUM(J2:J46)</f>
        <v/>
      </c>
      <c r="K47">
        <f>SUM(K2:K46)</f>
        <v/>
      </c>
      <c r="L47">
        <f>SUM(L2:L46)</f>
        <v/>
      </c>
      <c r="M47">
        <f>SUM(M2:M46)</f>
        <v/>
      </c>
      <c r="N47">
        <f>SUM(N2:N46)</f>
        <v/>
      </c>
      <c r="O47">
        <f>SUM(O2:O46)</f>
        <v/>
      </c>
      <c r="P47">
        <f>SUM(P2:P46)</f>
        <v/>
      </c>
      <c r="Q47">
        <f>SUM(Q2:Q46)</f>
        <v/>
      </c>
      <c r="R47">
        <f>SUM(R2:R46)</f>
        <v/>
      </c>
      <c r="T47" t="n">
        <v>145.8053</v>
      </c>
      <c r="V47" t="n">
        <v>116.126</v>
      </c>
      <c r="X47" t="n">
        <v>71.630568</v>
      </c>
      <c r="Y47">
        <f>IF(AND(ISNUMBER(X47),ISNUMBER(P47),P47&lt;&gt;0),(X47-P47)/P47,"-")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9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公司</t>
        </is>
      </c>
      <c r="B1" s="1" t="inlineStr">
        <is>
          <t>国家</t>
        </is>
      </c>
      <c r="C1" s="1" t="inlineStr">
        <is>
          <t>项目/口径</t>
        </is>
      </c>
      <c r="D1" s="1" t="inlineStr">
        <is>
          <t>23Q1</t>
        </is>
      </c>
      <c r="E1" s="1" t="inlineStr">
        <is>
          <t>23Q2</t>
        </is>
      </c>
      <c r="F1" s="1" t="inlineStr">
        <is>
          <t>23Q3</t>
        </is>
      </c>
      <c r="G1" s="1" t="inlineStr">
        <is>
          <t>23Q4</t>
        </is>
      </c>
      <c r="H1" s="1" t="inlineStr">
        <is>
          <t>23总计</t>
        </is>
      </c>
      <c r="I1" s="1" t="inlineStr">
        <is>
          <t>24Q1</t>
        </is>
      </c>
      <c r="J1" s="1" t="inlineStr">
        <is>
          <t>24Q2</t>
        </is>
      </c>
      <c r="K1" s="1" t="inlineStr">
        <is>
          <t>24Q3</t>
        </is>
      </c>
      <c r="L1" s="1" t="inlineStr">
        <is>
          <t>24Q4</t>
        </is>
      </c>
      <c r="M1" s="1" t="inlineStr">
        <is>
          <t>24总计</t>
        </is>
      </c>
      <c r="N1" s="1" t="inlineStr">
        <is>
          <t>25Q1</t>
        </is>
      </c>
      <c r="O1" s="1" t="inlineStr">
        <is>
          <t>25Q2</t>
        </is>
      </c>
      <c r="P1" s="1" t="inlineStr">
        <is>
          <t>25Q3</t>
        </is>
      </c>
      <c r="Q1" s="1" t="inlineStr">
        <is>
          <t>25Q4</t>
        </is>
      </c>
      <c r="R1" s="1" t="inlineStr">
        <is>
          <t>25总计</t>
        </is>
      </c>
      <c r="S1" s="1" t="inlineStr">
        <is>
          <t>25同比</t>
        </is>
      </c>
      <c r="T1" s="1" t="inlineStr">
        <is>
          <t>26Q1</t>
        </is>
      </c>
      <c r="U1" s="1" t="inlineStr">
        <is>
          <t>26Q1同比</t>
        </is>
      </c>
      <c r="V1" s="1" t="inlineStr">
        <is>
          <t>26Q2</t>
        </is>
      </c>
      <c r="W1" s="1" t="inlineStr">
        <is>
          <t>26Q2同比</t>
        </is>
      </c>
      <c r="X1" s="1" t="inlineStr">
        <is>
          <t>26Q3</t>
        </is>
      </c>
      <c r="Y1" s="1" t="inlineStr">
        <is>
          <t>26Q3同比</t>
        </is>
      </c>
      <c r="Z1" s="1" t="inlineStr">
        <is>
          <t>变化原因</t>
        </is>
      </c>
      <c r="AA1" t="inlineStr">
        <is>
          <t>FY2026指引</t>
        </is>
      </c>
      <c r="AB1" t="inlineStr">
        <is>
          <t>备注</t>
        </is>
      </c>
    </row>
    <row r="2">
      <c r="A2" t="inlineStr">
        <is>
          <t>Boliden-Odda</t>
        </is>
      </c>
      <c r="B2" t="inlineStr">
        <is>
          <t>北欧</t>
        </is>
      </c>
      <c r="D2" t="n">
        <v>4.63</v>
      </c>
      <c r="E2" t="n">
        <v>4.44</v>
      </c>
      <c r="F2" t="n">
        <v>3.92</v>
      </c>
      <c r="G2" t="n">
        <v>3.42</v>
      </c>
      <c r="H2" t="n">
        <v>16.41</v>
      </c>
      <c r="I2" t="n">
        <v>3.97</v>
      </c>
      <c r="J2" t="n">
        <v>3.79</v>
      </c>
      <c r="K2" t="n">
        <v>3.6</v>
      </c>
      <c r="L2" t="n">
        <v>3.8</v>
      </c>
      <c r="M2" t="n">
        <v>15.16</v>
      </c>
      <c r="N2" t="n">
        <v>4.1</v>
      </c>
      <c r="O2" t="n">
        <v>4.6</v>
      </c>
      <c r="P2" t="n">
        <v>3.8</v>
      </c>
      <c r="Q2" t="n">
        <v>4.2</v>
      </c>
      <c r="R2" t="n">
        <v>16.7</v>
      </c>
      <c r="S2">
        <f>IF(AND(ISNUMBER(R2),ISNUMBER(M2),M2&lt;&gt;0),(R2-M2)/M2,"-")</f>
        <v/>
      </c>
      <c r="T2" t="n">
        <v>3.3</v>
      </c>
      <c r="U2">
        <f>IF(AND(ISNUMBER(T2),ISNUMBER(N2),N2&lt;&gt;0),(T2-N2)/N2,"-")</f>
        <v/>
      </c>
      <c r="V2" t="n">
        <v>3.98</v>
      </c>
      <c r="W2">
        <f>IF(AND(ISNUMBER(V2),ISNUMBER(O2),O2&lt;&gt;0),(V2-O2)/O2,"-")</f>
        <v/>
      </c>
      <c r="X2" t="inlineStr">
        <is>
          <t>待发布(2026-10-29)</t>
        </is>
      </c>
      <c r="Y2">
        <f>IF(AND(ISNUMBER(X2),ISNUMBER(P2),P2&lt;&gt;0),(X2-P2)/P2,"-")</f>
        <v/>
      </c>
      <c r="Z2" t="inlineStr">
        <is>
          <t>逐步复产，年底预计满产；26Q2锌3.98万吨(-13%/环比+20%): 扩产爬坡慢于预期(新焙烧炉问题)</t>
        </is>
      </c>
    </row>
    <row r="3">
      <c r="A3" t="inlineStr">
        <is>
          <t>Mitsui Mining</t>
        </is>
      </c>
      <c r="B3" t="inlineStr">
        <is>
          <t>日本</t>
        </is>
      </c>
      <c r="D3" t="n">
        <v>4.4</v>
      </c>
      <c r="E3" t="n">
        <v>6</v>
      </c>
      <c r="F3" t="n">
        <v>5.4</v>
      </c>
      <c r="G3" t="n">
        <v>5.3</v>
      </c>
      <c r="H3" t="n">
        <v>21.1</v>
      </c>
      <c r="I3" t="n">
        <v>5.6</v>
      </c>
      <c r="J3" t="n">
        <v>4.7</v>
      </c>
      <c r="K3" t="n">
        <v>5.6</v>
      </c>
      <c r="L3" t="n">
        <v>6.3</v>
      </c>
      <c r="M3" t="n">
        <v>22.2</v>
      </c>
      <c r="N3" t="n">
        <v>5.3</v>
      </c>
      <c r="O3" t="n">
        <v>5.5</v>
      </c>
      <c r="P3" t="n">
        <v>5.4</v>
      </c>
      <c r="Q3" t="n">
        <v>5.4</v>
      </c>
      <c r="R3" t="n">
        <v>21.6</v>
      </c>
      <c r="S3">
        <f>IF(AND(ISNUMBER(R3),ISNUMBER(M3),M3&lt;&gt;0),(R3-M3)/M3,"-")</f>
        <v/>
      </c>
      <c r="T3" t="n">
        <v>5.5</v>
      </c>
      <c r="U3">
        <f>IF(AND(ISNUMBER(T3),ISNUMBER(N3),N3&lt;&gt;0),(T3-N3)/N3,"-")</f>
        <v/>
      </c>
      <c r="V3" t="n">
        <v>4.5</v>
      </c>
      <c r="W3">
        <f>IF(AND(ISNUMBER(V3),ISNUMBER(O3),O3&lt;&gt;0),(V3-O3)/O3,"-")</f>
        <v/>
      </c>
      <c r="X3" t="inlineStr">
        <is>
          <t>待发布(预计2026-11上旬)</t>
        </is>
      </c>
      <c r="Y3">
        <f>IF(AND(ISNUMBER(X3),ISNUMBER(P3),P3&lt;&gt;0),(X3-P3)/P3,"-")</f>
        <v/>
      </c>
      <c r="Z3" t="inlineStr">
        <is>
          <t>三井金属FY27/3期Q1(2026.4-6)决算说明资料(8/7)：亜鉛生産量45千t=4.5万吨(短信仅财务口径,产量在说明资料)；通期计划218千t(8/7修正)</t>
        </is>
      </c>
    </row>
    <row r="4">
      <c r="A4" t="inlineStr">
        <is>
          <t>Korea Zinc</t>
        </is>
      </c>
      <c r="B4" t="inlineStr">
        <is>
          <t>韩国</t>
        </is>
      </c>
      <c r="D4" t="n">
        <v>8.84</v>
      </c>
      <c r="E4" t="n">
        <v>8.609999999999999</v>
      </c>
      <c r="F4" t="n">
        <v>15.94</v>
      </c>
      <c r="G4" t="n">
        <v>16.18</v>
      </c>
      <c r="H4" t="n">
        <v>49.57</v>
      </c>
      <c r="I4" t="n">
        <v>16.89</v>
      </c>
      <c r="J4" t="n">
        <v>15.24</v>
      </c>
      <c r="K4" t="n">
        <v>14.57</v>
      </c>
      <c r="L4" t="n">
        <v>17.6</v>
      </c>
      <c r="M4" t="n">
        <v>64.30000000000001</v>
      </c>
      <c r="N4" t="n">
        <v>14.6</v>
      </c>
      <c r="O4" t="n">
        <v>15.1</v>
      </c>
      <c r="P4" t="n">
        <v>15</v>
      </c>
      <c r="Q4" t="n">
        <v>14.2</v>
      </c>
      <c r="R4" t="n">
        <v>58.90000000000001</v>
      </c>
      <c r="S4">
        <f>IF(AND(ISNUMBER(R4),ISNUMBER(M4),M4&lt;&gt;0),(R4-M4)/M4,"-")</f>
        <v/>
      </c>
      <c r="T4" t="n">
        <v>15.4</v>
      </c>
      <c r="U4">
        <f>IF(AND(ISNUMBER(T4),ISNUMBER(N4),N4&lt;&gt;0),(T4-N4)/N4,"-")</f>
        <v/>
      </c>
      <c r="V4" t="inlineStr">
        <is>
          <t>-</t>
        </is>
      </c>
      <c r="W4">
        <f>IF(AND(ISNUMBER(V4),ISNUMBER(O4),O4&lt;&gt;0),(V4-O4)/O4,"-")</f>
        <v/>
      </c>
      <c r="X4" t="inlineStr">
        <is>
          <t>-</t>
        </is>
      </c>
      <c r="Y4">
        <f>IF(AND(ISNUMBER(X4),ISNUMBER(P4),P4&lt;&gt;0),(X4-P4)/P4,"-")</f>
        <v/>
      </c>
      <c r="Z4" t="inlineStr">
        <is>
          <t>Korea Zinc Q2财报(8/6)仅披露锌销量146,374MT(standalone,-2.8%YoY)；产量年度才披露(2025年600,006MT)</t>
        </is>
      </c>
    </row>
    <row r="5">
      <c r="A5" t="inlineStr">
        <is>
          <t>Glencore</t>
        </is>
      </c>
      <c r="B5" t="inlineStr">
        <is>
          <t>北美为主</t>
        </is>
      </c>
      <c r="D5" t="n">
        <v>14.06</v>
      </c>
      <c r="E5" t="n">
        <v>20.47</v>
      </c>
      <c r="F5" t="n">
        <v>20.05</v>
      </c>
      <c r="G5" t="n">
        <v>20.68</v>
      </c>
      <c r="H5" t="n">
        <v>75.25999999999999</v>
      </c>
      <c r="I5" t="n">
        <v>21.01</v>
      </c>
      <c r="J5" t="n">
        <v>23</v>
      </c>
      <c r="K5" t="n">
        <v>22.97</v>
      </c>
      <c r="L5" t="n">
        <v>20.47</v>
      </c>
      <c r="M5" t="n">
        <v>87.44999999999999</v>
      </c>
      <c r="N5" t="n">
        <v>22.77</v>
      </c>
      <c r="O5" t="n">
        <v>23.56</v>
      </c>
      <c r="P5" t="n">
        <v>21.6</v>
      </c>
      <c r="Q5" t="n">
        <v>23.1</v>
      </c>
      <c r="R5" t="n">
        <v>91.03</v>
      </c>
      <c r="S5">
        <f>IF(AND(ISNUMBER(R5),ISNUMBER(M5),M5&lt;&gt;0),(R5-M5)/M5,"-")</f>
        <v/>
      </c>
      <c r="T5" t="n">
        <v>22.58</v>
      </c>
      <c r="U5">
        <f>IF(AND(ISNUMBER(T5),ISNUMBER(N5),N5&lt;&gt;0),(T5-N5)/N5,"-")</f>
        <v/>
      </c>
      <c r="V5" t="n">
        <v>22.09</v>
      </c>
      <c r="W5">
        <f>IF(AND(ISNUMBER(V5),ISNUMBER(O5),O5&lt;&gt;0),(V5-O5)/O5,"-")</f>
        <v/>
      </c>
      <c r="X5" t="inlineStr">
        <is>
          <t>待发布(2026-10-29)</t>
        </is>
      </c>
      <c r="Y5">
        <f>IF(AND(ISNUMBER(X5),ISNUMBER(P5),P5&lt;&gt;0),(X5-P5)/P5,"-")</f>
        <v/>
      </c>
      <c r="Z5" t="inlineStr">
        <is>
          <t>26Q2锌22.09万吨(-6.2%): 运营中断和电力限制；来自Glencore 2026-H1 Report(PDF, 2026-07-29)</t>
        </is>
      </c>
    </row>
    <row r="6">
      <c r="A6" t="inlineStr">
        <is>
          <t>Boliden-Kokkola</t>
        </is>
      </c>
      <c r="B6" t="inlineStr">
        <is>
          <t>加拿大</t>
        </is>
      </c>
      <c r="D6" t="n">
        <v>7.72</v>
      </c>
      <c r="E6" t="n">
        <v>7.72</v>
      </c>
      <c r="F6" t="n">
        <v>6.84</v>
      </c>
      <c r="G6" t="n">
        <v>7.12</v>
      </c>
      <c r="H6" t="n">
        <v>29.4</v>
      </c>
      <c r="I6" t="n">
        <v>7.48</v>
      </c>
      <c r="J6" t="n">
        <v>7.55</v>
      </c>
      <c r="K6" t="n">
        <v>7.73</v>
      </c>
      <c r="L6" t="n">
        <v>7.47</v>
      </c>
      <c r="M6" t="n">
        <v>30.23</v>
      </c>
      <c r="N6" t="n">
        <v>6.9</v>
      </c>
      <c r="O6" t="n">
        <v>7.2</v>
      </c>
      <c r="P6" t="n">
        <v>7.59</v>
      </c>
      <c r="Q6" t="n">
        <v>7.27</v>
      </c>
      <c r="R6" t="n">
        <v>28.96</v>
      </c>
      <c r="S6">
        <f>IF(AND(ISNUMBER(R6),ISNUMBER(M6),M6&lt;&gt;0),(R6-M6)/M6,"-")</f>
        <v/>
      </c>
      <c r="T6" t="n">
        <v>7.5</v>
      </c>
      <c r="U6">
        <f>IF(AND(ISNUMBER(T6),ISNUMBER(N6),N6&lt;&gt;0),(T6-N6)/N6,"-")</f>
        <v/>
      </c>
      <c r="V6" t="n">
        <v>6.53</v>
      </c>
      <c r="W6">
        <f>IF(AND(ISNUMBER(V6),ISNUMBER(O6),O6&lt;&gt;0),(V6-O6)/O6,"-")</f>
        <v/>
      </c>
      <c r="X6" t="inlineStr">
        <is>
          <t>待发布(2026-10-29)</t>
        </is>
      </c>
      <c r="Y6">
        <f>IF(AND(ISNUMBER(X6),ISNUMBER(P6),P6&lt;&gt;0),(X6-P6)/P6,"-")</f>
        <v/>
      </c>
      <c r="Z6" t="inlineStr">
        <is>
          <t>扩产投料；26Q2锌6.53万吨(-9%): 计划检修+锅炉/焙烧炉工艺扰动</t>
        </is>
      </c>
    </row>
    <row r="7">
      <c r="A7" t="inlineStr">
        <is>
          <t>Três Marias</t>
        </is>
      </c>
      <c r="B7" t="inlineStr">
        <is>
          <t>巴西</t>
        </is>
      </c>
      <c r="D7" t="n">
        <v>3.79</v>
      </c>
      <c r="E7" t="n">
        <v>3.57</v>
      </c>
      <c r="F7" t="n">
        <v>3.9</v>
      </c>
      <c r="G7" t="n">
        <v>3.58</v>
      </c>
      <c r="H7" t="n">
        <v>14.84</v>
      </c>
      <c r="I7" t="n">
        <v>3.8</v>
      </c>
      <c r="J7" t="n">
        <v>3.63</v>
      </c>
      <c r="K7" t="n">
        <v>3.58</v>
      </c>
      <c r="L7" t="n">
        <v>3.44</v>
      </c>
      <c r="M7" t="n">
        <v>14.45</v>
      </c>
      <c r="N7" t="n">
        <v>3.1</v>
      </c>
      <c r="O7" t="n">
        <v>2.85</v>
      </c>
      <c r="P7" t="n">
        <v>3</v>
      </c>
      <c r="Q7" t="n">
        <v>3</v>
      </c>
      <c r="R7" t="n">
        <v>11.95</v>
      </c>
      <c r="S7">
        <f>IF(AND(ISNUMBER(R7),ISNUMBER(M7),M7&lt;&gt;0),(R7-M7)/M7,"-")</f>
        <v/>
      </c>
      <c r="T7" t="n">
        <v>3.6</v>
      </c>
      <c r="U7">
        <f>IF(AND(ISNUMBER(T7),ISNUMBER(N7),N7&lt;&gt;0),(T7-N7)/N7,"-")</f>
        <v/>
      </c>
      <c r="V7" t="n">
        <v>3.37</v>
      </c>
      <c r="W7">
        <f>IF(AND(ISNUMBER(V7),ISNUMBER(O7),O7&lt;&gt;0),(V7-O7)/O7,"-")</f>
        <v/>
      </c>
      <c r="X7" t="inlineStr">
        <is>
          <t>待发布(2026-10-29)</t>
        </is>
      </c>
      <c r="Y7">
        <f>IF(AND(ISNUMBER(X7),ISNUMBER(P7),P7&lt;&gt;0),(X7-P7)/P7,"-")</f>
        <v/>
      </c>
      <c r="Z7" t="inlineStr">
        <is>
          <t>Nexa 2Q26报告分厂表：锌金属产量33.7kt（同比+18.2%/环比-7.2%）；口径=锌金属（不含氧化锌9.1kt），与历史行一致。来源：SEC 6-K ex99-1（2026-08-05）</t>
        </is>
      </c>
      <c r="AB7" t="inlineStr">
        <is>
          <t>26Q2已入库：Nexa 2Q26起分厂表披露（此前8/23注「分厂未披露」已被证伪，以分厂表为准）</t>
        </is>
      </c>
    </row>
    <row r="8">
      <c r="A8" t="inlineStr">
        <is>
          <t>Torreon</t>
        </is>
      </c>
      <c r="B8" t="inlineStr">
        <is>
          <t>墨西哥</t>
        </is>
      </c>
      <c r="D8" t="n">
        <v>5.5</v>
      </c>
      <c r="E8" t="n">
        <v>6.69</v>
      </c>
      <c r="F8" t="n">
        <v>6.640000000000001</v>
      </c>
      <c r="G8" t="n">
        <v>6.31</v>
      </c>
      <c r="H8" t="n">
        <v>25.14</v>
      </c>
      <c r="I8" t="n">
        <v>5.86</v>
      </c>
      <c r="J8" t="n">
        <v>6.3</v>
      </c>
      <c r="K8" t="n">
        <v>6.1</v>
      </c>
      <c r="L8" t="n">
        <v>6.56</v>
      </c>
      <c r="M8" t="n">
        <v>24.82</v>
      </c>
      <c r="N8" t="n">
        <v>4.2</v>
      </c>
      <c r="O8" t="n">
        <v>5.4</v>
      </c>
      <c r="P8" t="n">
        <v>4.6</v>
      </c>
      <c r="Q8" t="n">
        <v>5.79</v>
      </c>
      <c r="R8" t="n">
        <v>19.99</v>
      </c>
      <c r="S8">
        <f>IF(AND(ISNUMBER(R8),ISNUMBER(M8),M8&lt;&gt;0),(R8-M8)/M8,"-")</f>
        <v/>
      </c>
      <c r="T8" t="n">
        <v>4.9</v>
      </c>
      <c r="U8">
        <f>IF(AND(ISNUMBER(T8),ISNUMBER(N8),N8&lt;&gt;0),(T8-N8)/N8,"-")</f>
        <v/>
      </c>
      <c r="V8" t="n">
        <v>3.5532</v>
      </c>
      <c r="W8">
        <f>IF(AND(ISNUMBER(V8),ISNUMBER(O8),O8&lt;&gt;0),(V8-O8)/O8,"-")</f>
        <v/>
      </c>
      <c r="X8" t="inlineStr">
        <is>
          <t>待发布(预计2026-10-26)</t>
        </is>
      </c>
      <c r="Y8">
        <f>IF(AND(ISNUMBER(X8),ISNUMBER(P8),P8&lt;&gt;0),(X8-P8)/P8,"-")</f>
        <v/>
      </c>
      <c r="Z8" t="inlineStr">
        <is>
          <t>26Q2=3.5532万吨(35,532吨)同比-33.9%(年度计划检修+复产延迟+检修前额外停车，一次性扰动非趋势减产)/H1=8.3658万吨。来源:penoles.com.mx Informe_Director_2T26_Eng.pdf(2026-08-04)</t>
        </is>
      </c>
      <c r="AB8" t="inlineStr">
        <is>
          <t>26Q2 Nexa冶炼锌金属+氧化合计125kt(-10%)；分冶炼厂数据未单独披露，待补充</t>
        </is>
      </c>
    </row>
    <row r="9">
      <c r="A9" t="inlineStr">
        <is>
          <t>Teck-Trail</t>
        </is>
      </c>
      <c r="B9" t="inlineStr">
        <is>
          <t>加拿大</t>
        </is>
      </c>
      <c r="D9" t="n">
        <v>6.16</v>
      </c>
      <c r="E9" t="n">
        <v>6.79</v>
      </c>
      <c r="F9" t="n">
        <v>6.72</v>
      </c>
      <c r="G9" t="n">
        <v>6.99</v>
      </c>
      <c r="H9" t="n">
        <v>26.66</v>
      </c>
      <c r="I9" t="n">
        <v>6.35</v>
      </c>
      <c r="J9" t="n">
        <v>6.49</v>
      </c>
      <c r="K9" t="n">
        <v>6.55</v>
      </c>
      <c r="L9" t="n">
        <v>6.21</v>
      </c>
      <c r="M9" t="n">
        <v>25.6</v>
      </c>
      <c r="N9" t="n">
        <v>5.83</v>
      </c>
      <c r="O9" t="n">
        <v>5.09</v>
      </c>
      <c r="P9" t="n">
        <v>5.26</v>
      </c>
      <c r="Q9" t="n">
        <v>6.81</v>
      </c>
      <c r="R9" t="n">
        <v>22.99</v>
      </c>
      <c r="S9">
        <f>IF(AND(ISNUMBER(R9),ISNUMBER(M9),M9&lt;&gt;0),(R9-M9)/M9,"-")</f>
        <v/>
      </c>
      <c r="T9" t="n">
        <v>7.4</v>
      </c>
      <c r="U9">
        <f>IF(AND(ISNUMBER(T9),ISNUMBER(N9),N9&lt;&gt;0),(T9-N9)/N9,"-")</f>
        <v/>
      </c>
      <c r="V9" t="n">
        <v>4.98</v>
      </c>
      <c r="W9">
        <f>IF(AND(ISNUMBER(V9),ISNUMBER(O9),O9&lt;&gt;0),(V9-O9)/O9,"-")</f>
        <v/>
      </c>
      <c r="X9" t="inlineStr">
        <is>
          <t>待发布(2026-10-29)</t>
        </is>
      </c>
      <c r="Y9">
        <f>IF(AND(ISNUMBER(X9),ISNUMBER(P9),P9&lt;&gt;0),(X9-P9)/P9,"-")</f>
        <v/>
      </c>
      <c r="Z9" t="inlineStr">
        <is>
          <t>副产品利润推动纯冶炼成本下滑；26Q2: 铅回路计划检修(已含年度指引)</t>
        </is>
      </c>
    </row>
    <row r="10">
      <c r="A10" t="inlineStr">
        <is>
          <t>Cajamarquilla</t>
        </is>
      </c>
      <c r="B10" t="inlineStr">
        <is>
          <t>秘鲁</t>
        </is>
      </c>
      <c r="D10" t="n">
        <v>8.130000000000001</v>
      </c>
      <c r="E10" t="n">
        <v>8.27</v>
      </c>
      <c r="F10" t="n">
        <v>8.08</v>
      </c>
      <c r="G10" t="n">
        <v>7.82</v>
      </c>
      <c r="H10" t="n">
        <v>32.3</v>
      </c>
      <c r="I10" t="n">
        <v>7.3</v>
      </c>
      <c r="J10" t="n">
        <v>8.300000000000001</v>
      </c>
      <c r="K10" t="n">
        <v>8.76</v>
      </c>
      <c r="L10" t="n">
        <v>8.720000000000001</v>
      </c>
      <c r="M10" t="n">
        <v>33.08</v>
      </c>
      <c r="N10" t="n">
        <v>8.23</v>
      </c>
      <c r="O10" t="n">
        <v>8.4</v>
      </c>
      <c r="P10" t="n">
        <v>9</v>
      </c>
      <c r="Q10" t="n">
        <v>8.9</v>
      </c>
      <c r="R10" t="n">
        <v>34.53</v>
      </c>
      <c r="S10">
        <f>IF(AND(ISNUMBER(R10),ISNUMBER(M10),M10&lt;&gt;0),(R10-M10)/M10,"-")</f>
        <v/>
      </c>
      <c r="T10" t="n">
        <v>8.6</v>
      </c>
      <c r="U10">
        <f>IF(AND(ISNUMBER(T10),ISNUMBER(N10),N10&lt;&gt;0),(T10-N10)/N10,"-")</f>
        <v/>
      </c>
      <c r="V10" t="n">
        <v>6.2</v>
      </c>
      <c r="W10">
        <f>IF(AND(ISNUMBER(V10),ISNUMBER(O10),O10&lt;&gt;0),(V10-O10)/O10,"-")</f>
        <v/>
      </c>
      <c r="X10" t="inlineStr">
        <is>
          <t>待发布(2026-10-29)</t>
        </is>
      </c>
      <c r="Y10">
        <f>IF(AND(ISNUMBER(X10),ISNUMBER(P10),P10&lt;&gt;0),(X10-P10)/P10,"-")</f>
        <v/>
      </c>
      <c r="Z10" t="inlineStr">
        <is>
          <t>Nexa 2Q26报告分厂表：锌金属62.0kt（同比-26.1%/环比-27.4%）；5月火灾致铸造车间停产（估计影响约7kt），6月恢复正常，受影响量预计2H26补回，全年销量指引维持。来源：SEC 6-K ex99-1（2026-08-05）</t>
        </is>
      </c>
      <c r="AB10" t="inlineStr">
        <is>
          <t>26Q2已入库：Nexa 2Q26分厂表（此前8/23注「分厂未披露」已被证伪）</t>
        </is>
      </c>
    </row>
    <row r="11">
      <c r="A11" t="inlineStr">
        <is>
          <t>SMC</t>
        </is>
      </c>
      <c r="B11" t="inlineStr">
        <is>
          <t>韩国</t>
        </is>
      </c>
      <c r="D11" t="n">
        <v>5.89</v>
      </c>
      <c r="E11" t="n">
        <v>4.99</v>
      </c>
      <c r="F11" t="n">
        <v>4.94</v>
      </c>
      <c r="G11" t="n">
        <v>5.67</v>
      </c>
      <c r="H11" t="n">
        <v>21.49</v>
      </c>
      <c r="I11" t="n">
        <v>4.99</v>
      </c>
      <c r="J11" t="n">
        <v>5.86</v>
      </c>
      <c r="K11" t="n">
        <v>6</v>
      </c>
      <c r="L11" t="n">
        <v>2.83</v>
      </c>
      <c r="M11" t="n">
        <v>19.68</v>
      </c>
      <c r="N11" t="n">
        <v>6.35</v>
      </c>
      <c r="O11" t="n">
        <v>6.55</v>
      </c>
      <c r="P11" t="n">
        <v>6.74</v>
      </c>
      <c r="Q11" t="n">
        <v>6.43</v>
      </c>
      <c r="R11" t="n">
        <v>26.07</v>
      </c>
      <c r="S11">
        <f>IF(AND(ISNUMBER(R11),ISNUMBER(M11),M11&lt;&gt;0),(R11-M11)/M11,"-")</f>
        <v/>
      </c>
      <c r="T11" t="n">
        <v>6</v>
      </c>
      <c r="U11">
        <f>IF(AND(ISNUMBER(T11),ISNUMBER(N11),N11&lt;&gt;0),(T11-N11)/N11,"-")</f>
        <v/>
      </c>
      <c r="V11" t="inlineStr">
        <is>
          <t>-</t>
        </is>
      </c>
      <c r="W11">
        <f>IF(AND(ISNUMBER(V11),ISNUMBER(O11),O11&lt;&gt;0),(V11-O11)/O11,"-")</f>
        <v/>
      </c>
      <c r="X11" t="inlineStr">
        <is>
          <t>-</t>
        </is>
      </c>
      <c r="Y11">
        <f>IF(AND(ISNUMBER(X11),ISNUMBER(P11),P11&lt;&gt;0),(X11-P11)/P11,"-")</f>
        <v/>
      </c>
      <c r="Z11" t="inlineStr">
        <is>
          <t>公开渠道无法获取分季度精炼锌产量。口径提示:SMC=Sun Metals Corporation(Korea Zinc 100%澳洲子公司Townsville，非韩国本土第二大冶炼厂)，非上市私人子公司不披露季度产量，集团亦不按分厂披露。来源:Korea Zinc IR/DART+Sun Metals官网+AFR｜2026-08-31核：Korea Zinc 2Q26 IR（2026-08-06）SMC章节仅披露营收/利润（销售$299.0M、OP $7.9M），未再披露分季锌产量（25Q2及之前曾披露，25Q2=65,546t），26Q2标-；报告称物流正常化后产量已恢复</t>
        </is>
      </c>
      <c r="AB11" t="inlineStr">
        <is>
          <t>26Q2=-：Korea Zinc 2Q26 IR未披露SMC锌产量（此前8/23误贴Nexa 125kt注，已更正）</t>
        </is>
      </c>
    </row>
    <row r="12">
      <c r="A12" t="inlineStr">
        <is>
          <t>Zawar &amp; Rampura</t>
        </is>
      </c>
      <c r="B12" t="inlineStr">
        <is>
          <t>印度</t>
        </is>
      </c>
      <c r="D12" t="n">
        <v>21.5</v>
      </c>
      <c r="E12" t="n">
        <v>20.9</v>
      </c>
      <c r="F12" t="n">
        <v>18.5</v>
      </c>
      <c r="G12" t="n">
        <v>20.3</v>
      </c>
      <c r="H12" t="n">
        <v>81.2</v>
      </c>
      <c r="I12" t="n">
        <v>22</v>
      </c>
      <c r="J12" t="n">
        <v>21.1</v>
      </c>
      <c r="K12" t="n">
        <v>19.8</v>
      </c>
      <c r="L12" t="n">
        <v>20.4</v>
      </c>
      <c r="M12" t="n">
        <v>83.30000000000001</v>
      </c>
      <c r="N12" t="n">
        <v>21</v>
      </c>
      <c r="O12" t="n">
        <v>20.2</v>
      </c>
      <c r="P12" t="n">
        <v>20.2</v>
      </c>
      <c r="Q12" t="n">
        <v>22.1</v>
      </c>
      <c r="R12" t="n">
        <v>83.5</v>
      </c>
      <c r="S12">
        <f>IF(AND(ISNUMBER(R12),ISNUMBER(M12),M12&lt;&gt;0),(R12-M12)/M12,"-")</f>
        <v/>
      </c>
      <c r="T12" t="n">
        <v>22.7</v>
      </c>
      <c r="U12">
        <f>IF(AND(ISNUMBER(T12),ISNUMBER(N12),N12&lt;&gt;0),(T12-N12)/N12,"-")</f>
        <v/>
      </c>
      <c r="V12" t="n">
        <v>21.3</v>
      </c>
      <c r="W12">
        <f>IF(AND(ISNUMBER(V12),ISNUMBER(O12),O12&lt;&gt;0),(V12-O12)/O12,"-")</f>
        <v/>
      </c>
      <c r="X12" t="n">
        <v>21.2</v>
      </c>
      <c r="Y12">
        <f>IF(AND(ISNUMBER(X12),ISNUMBER(P12),P12&lt;&gt;0),(X12-P12)/P12,"-")</f>
        <v/>
      </c>
      <c r="Z12" t="inlineStr">
        <is>
          <t>副产品受益；26Q2精炼锌21.3万吨(+6%): Chanderiya/Dariba去瓶颈+Debari 160ktpa焙烧炉释放产能，部分被计划检修抵消</t>
        </is>
      </c>
    </row>
    <row r="13">
      <c r="A13" t="inlineStr">
        <is>
          <t>Nystar</t>
        </is>
      </c>
      <c r="B13" t="inlineStr">
        <is>
          <t>澳大利亚</t>
        </is>
      </c>
      <c r="S13">
        <f>IF(AND(ISNUMBER(R13),ISNUMBER(M13),M13&lt;&gt;0),(R13-M13)/M13,"-")</f>
        <v/>
      </c>
      <c r="U13">
        <f>IF(AND(ISNUMBER(T13),ISNUMBER(N13),N13&lt;&gt;0),(T13-N13)/N13,"-")</f>
        <v/>
      </c>
      <c r="W13">
        <f>IF(AND(ISNUMBER(V13),ISNUMBER(O13),O13&lt;&gt;0),(V13-O13)/O13,"-")</f>
        <v/>
      </c>
      <c r="Y13">
        <f>IF(AND(ISNUMBER(X13),ISNUMBER(P13),P13&lt;&gt;0),(X13-P13)/P13,"-")</f>
        <v/>
      </c>
    </row>
    <row r="14">
      <c r="A14" t="inlineStr">
        <is>
          <t>中国</t>
        </is>
      </c>
      <c r="B14" t="inlineStr">
        <is>
          <t>株冶集团</t>
        </is>
      </c>
      <c r="D14" t="inlineStr">
        <is>
          <t>锌及锌合金（株洲冶炼）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>
        <f>IF(AND(ISNUMBER(R14),ISNUMBER(M14),M14&lt;&gt;0),(R14-M14)/M14,"-")</f>
        <v/>
      </c>
      <c r="T14" t="inlineStr">
        <is>
          <t>-</t>
        </is>
      </c>
      <c r="U14">
        <f>IF(AND(ISNUMBER(T14),ISNUMBER(N14),N14&lt;&gt;0),(T14-N14)/N14,"-")</f>
        <v/>
      </c>
      <c r="V14" t="inlineStr">
        <is>
          <t>-</t>
        </is>
      </c>
      <c r="W14">
        <f>IF(AND(ISNUMBER(V14),ISNUMBER(O14),O14&lt;&gt;0),(V14-O14)/O14,"-")</f>
        <v/>
      </c>
      <c r="Y14">
        <f>IF(AND(ISNUMBER(X14),ISNUMBER(P14),P14&lt;&gt;0),(X14-P14)/P14,"-")</f>
        <v/>
      </c>
      <c r="Z14" t="inlineStr">
        <is>
          <t>株冶集团2026中报仅财务口径（营收141.5亿+35.9%/净利19.5亿+232.7%），未披露锌锭产量吨数（仅相对表述"析出锌超时序进度0.64%"）</t>
        </is>
      </c>
      <c r="AB14" t="inlineStr">
        <is>
          <t>源：株冶集团2026年半年度报告（SSE）；产能锚点68万吨锌产品</t>
        </is>
      </c>
    </row>
    <row r="15">
      <c r="A15" t="inlineStr">
        <is>
          <t>中国</t>
        </is>
      </c>
      <c r="B15" t="inlineStr">
        <is>
          <t>锌业股份</t>
        </is>
      </c>
      <c r="D15" t="inlineStr">
        <is>
          <t>锌（葫芦岛锌业）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>
        <f>IF(AND(ISNUMBER(R15),ISNUMBER(M15),M15&lt;&gt;0),(R15-M15)/M15,"-")</f>
        <v/>
      </c>
      <c r="T15" t="n">
        <v>6.265</v>
      </c>
      <c r="U15">
        <f>IF(AND(ISNUMBER(T15),ISNUMBER(N15),N15&lt;&gt;0),(T15-N15)/N15,"-")</f>
        <v/>
      </c>
      <c r="V15" t="n">
        <v>6.265</v>
      </c>
      <c r="W15">
        <f>IF(AND(ISNUMBER(V15),ISNUMBER(O15),O15&lt;&gt;0),(V15-O15)/O15,"-")</f>
        <v/>
      </c>
      <c r="Y15">
        <f>IF(AND(ISNUMBER(X15),ISNUMBER(P15),P15&lt;&gt;0),(X15-P15)/P15,"-")</f>
        <v/>
      </c>
      <c r="Z15" t="inlineStr">
        <is>
          <t>锌业股份H1 2026锌金属产品12.53万吨（安泰科口径，约占国内4%）；26Q1未披露，26Q1=26Q2=12.53/2=6.265万吨（H1/2拟合，中报无分季拆分）</t>
        </is>
      </c>
    </row>
    <row r="16">
      <c r="B16" t="inlineStr">
        <is>
          <t>总计</t>
        </is>
      </c>
      <c r="D16">
        <f>SUM(D2:D15)</f>
        <v/>
      </c>
      <c r="E16">
        <f>SUM(E2:E15)</f>
        <v/>
      </c>
      <c r="F16">
        <f>SUM(F2:F15)</f>
        <v/>
      </c>
      <c r="G16">
        <f>SUM(G2:G15)</f>
        <v/>
      </c>
      <c r="H16">
        <f>SUM(H2:H15)</f>
        <v/>
      </c>
      <c r="I16">
        <f>SUM(I2:I15)</f>
        <v/>
      </c>
      <c r="J16">
        <f>SUM(J2:J15)</f>
        <v/>
      </c>
      <c r="K16">
        <f>SUM(K2:K15)</f>
        <v/>
      </c>
      <c r="L16">
        <f>SUM(L2:L15)</f>
        <v/>
      </c>
      <c r="M16">
        <f>SUM(M2:M15)</f>
        <v/>
      </c>
      <c r="N16">
        <f>SUM(N2:N15)</f>
        <v/>
      </c>
      <c r="O16">
        <f>SUM(O2:O15)</f>
        <v/>
      </c>
      <c r="P16">
        <f>SUM(P2:P15)</f>
        <v/>
      </c>
      <c r="Q16">
        <f>SUM(Q2:Q15)</f>
        <v/>
      </c>
      <c r="R16">
        <f>SUM(R2:R15)</f>
        <v/>
      </c>
      <c r="T16" t="n">
        <v>107.48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6" customWidth="1" min="3" max="3"/>
    <col width="18" customWidth="1" min="4" max="4"/>
    <col width="20" customWidth="1" min="5" max="5"/>
    <col width="26" customWidth="1" min="6" max="6"/>
    <col width="30" customWidth="1" min="7" max="7"/>
    <col width="36" customWidth="1" min="8" max="8"/>
    <col width="11" customWidth="1" min="9" max="9"/>
  </cols>
  <sheetData>
    <row r="1">
      <c r="A1" s="1" t="inlineStr">
        <is>
          <t>公司</t>
        </is>
      </c>
      <c r="B1" s="1" t="inlineStr">
        <is>
          <t>币种/单位</t>
        </is>
      </c>
      <c r="C1" s="1" t="inlineStr">
        <is>
          <t>FY2024</t>
        </is>
      </c>
      <c r="D1" s="1" t="inlineStr">
        <is>
          <t>FY2025</t>
        </is>
      </c>
      <c r="E1" s="1" t="inlineStr">
        <is>
          <t>FY2026最新</t>
        </is>
      </c>
      <c r="F1" s="1" t="inlineStr">
        <is>
          <t>2026/27指引</t>
        </is>
      </c>
      <c r="G1" s="1" t="inlineStr">
        <is>
          <t>口径说明</t>
        </is>
      </c>
      <c r="H1" s="1" t="inlineStr">
        <is>
          <t>数据来源（官方）</t>
        </is>
      </c>
      <c r="I1" s="1" t="inlineStr">
        <is>
          <t>更新方式</t>
        </is>
      </c>
    </row>
    <row r="2">
      <c r="A2" t="inlineStr">
        <is>
          <t>Teck</t>
        </is>
      </c>
      <c r="B2" t="inlineStr">
        <is>
          <t>美元·百万</t>
        </is>
      </c>
      <c r="C2" t="inlineStr">
        <is>
          <t>1829.9</t>
        </is>
      </c>
      <c r="D2" t="inlineStr">
        <is>
          <t>1503.8</t>
        </is>
      </c>
      <c r="E2" t="inlineStr">
        <is>
          <t>26Q2: 538.3（H1累计1,025.7；iFinD购建固定资产/无形资产支付现金）</t>
        </is>
      </c>
      <c r="F2" t="inlineStr">
        <is>
          <t>—</t>
        </is>
      </c>
      <c r="G2" t="inlineStr">
        <is>
          <t>购建固定资产/无形资产支付现金</t>
        </is>
      </c>
      <c r="H2" t="inlineStr">
        <is>
          <t>iFinD现金流量表</t>
        </is>
      </c>
      <c r="I2" t="inlineStr">
        <is>
          <t>iFinD自动</t>
        </is>
      </c>
    </row>
    <row r="3">
      <c r="A3" t="inlineStr">
        <is>
          <t>Newmont</t>
        </is>
      </c>
      <c r="B3" t="inlineStr">
        <is>
          <t>美元·百万</t>
        </is>
      </c>
      <c r="C3" t="inlineStr">
        <is>
          <t>3402</t>
        </is>
      </c>
      <c r="D3" t="inlineStr">
        <is>
          <t>3035</t>
        </is>
      </c>
      <c r="E3" t="inlineStr">
        <is>
          <t>26Q2: 719.0（H1累计1,360.0；iFinD购建固定资产/无形资产支付现金）</t>
        </is>
      </c>
      <c r="F3" t="inlineStr">
        <is>
          <t>—</t>
        </is>
      </c>
      <c r="G3" t="inlineStr">
        <is>
          <t>购建固定资产/无形资产支付现金</t>
        </is>
      </c>
      <c r="H3" t="inlineStr">
        <is>
          <t>iFinD现金流量表</t>
        </is>
      </c>
      <c r="I3" t="inlineStr">
        <is>
          <t>iFinD自动</t>
        </is>
      </c>
    </row>
    <row r="4">
      <c r="A4" t="inlineStr">
        <is>
          <t>Nexa</t>
        </is>
      </c>
      <c r="B4" t="inlineStr">
        <is>
          <t>美元·百万</t>
        </is>
      </c>
      <c r="C4" t="inlineStr">
        <is>
          <t>264.8</t>
        </is>
      </c>
      <c r="D4" t="inlineStr">
        <is>
          <t>353.9</t>
        </is>
      </c>
      <c r="E4" t="inlineStr">
        <is>
          <t>26Q2: 92.2（H1累计164.0；iFinD购建固定资产/无形资产支付现金）</t>
        </is>
      </c>
      <c r="F4" t="inlineStr">
        <is>
          <t>—</t>
        </is>
      </c>
      <c r="G4" t="inlineStr">
        <is>
          <t>购建固定资产/无形资产支付现金</t>
        </is>
      </c>
      <c r="H4" t="inlineStr">
        <is>
          <t>iFinD现金流量表</t>
        </is>
      </c>
      <c r="I4" t="inlineStr">
        <is>
          <t>iFinD自动</t>
        </is>
      </c>
    </row>
    <row r="5">
      <c r="A5" t="inlineStr">
        <is>
          <t>MMG(1208.HK)</t>
        </is>
      </c>
      <c r="B5" t="inlineStr">
        <is>
          <t>美元·百万</t>
        </is>
      </c>
      <c r="C5" t="inlineStr">
        <is>
          <t>927.5</t>
        </is>
      </c>
      <c r="D5" t="inlineStr">
        <is>
          <t>1081.6</t>
        </is>
      </c>
      <c r="E5" t="inlineStr">
        <is>
          <t>26H1: 553.8（iFinD 20260630 purchase_of_ppe_and_ia_oas=553.8M USD；无Q1单季数据）</t>
        </is>
      </c>
      <c r="F5" t="inlineStr">
        <is>
          <t>—</t>
        </is>
      </c>
      <c r="G5" t="inlineStr">
        <is>
          <t>购建固定资产/无形资产支付现金</t>
        </is>
      </c>
      <c r="H5" t="inlineStr">
        <is>
          <t>iFinD现金流量表</t>
        </is>
      </c>
      <c r="I5" t="inlineStr">
        <is>
          <t>iFinD自动</t>
        </is>
      </c>
    </row>
    <row r="6">
      <c r="A6" t="inlineStr">
        <is>
          <t>Glencore</t>
        </is>
      </c>
      <c r="B6" t="inlineStr">
        <is>
          <t>美元·百万</t>
        </is>
      </c>
      <c r="C6" t="inlineStr">
        <is>
          <t>6700</t>
        </is>
      </c>
      <c r="D6" t="inlineStr">
        <is>
          <t>6900</t>
        </is>
      </c>
      <c r="E6" t="inlineStr">
        <is>
          <t>—</t>
        </is>
      </c>
      <c r="F6" t="inlineStr">
        <is>
          <t>2026工业capex约65-75亿(视FID)</t>
        </is>
      </c>
      <c r="G6" t="inlineStr">
        <is>
          <t>净现金PP&amp;E；FY25工业分部口径76亿(锌占10%)</t>
        </is>
      </c>
      <c r="H6" t="inlineStr">
        <is>
          <t>Glencore 2025初步业绩(2026-02-18)/2025年报</t>
        </is>
      </c>
      <c r="I6" t="inlineStr">
        <is>
          <t>官网人工</t>
        </is>
      </c>
    </row>
    <row r="7">
      <c r="A7" t="inlineStr">
        <is>
          <t>Boliden</t>
        </is>
      </c>
      <c r="B7" t="inlineStr">
        <is>
          <t>SEK·百万</t>
        </is>
      </c>
      <c r="C7" t="inlineStr">
        <is>
          <t>14973</t>
        </is>
      </c>
      <c r="D7" t="inlineStr">
        <is>
          <t>15496</t>
        </is>
      </c>
      <c r="E7" t="inlineStr">
        <is>
          <t>H1: 7,732</t>
        </is>
      </c>
      <c r="F7" t="inlineStr">
        <is>
          <t>2026: SEK 155亿(维持性65亿)</t>
        </is>
      </c>
      <c r="G7" t="inlineStr">
        <is>
          <t>Investments口径；Somincor/Zinkgruvan收购143.9亿单列</t>
        </is>
      </c>
      <c r="H7" t="inlineStr">
        <is>
          <t>Boliden Q4/年报2025(2026-02-03)/Q2 2026中报(2026-07-21)</t>
        </is>
      </c>
      <c r="I7" t="inlineStr">
        <is>
          <t>官网人工</t>
        </is>
      </c>
    </row>
    <row r="8">
      <c r="A8" t="inlineStr">
        <is>
          <t>Vedanta(财年止3月)</t>
        </is>
      </c>
      <c r="B8" t="inlineStr">
        <is>
          <t>INR·crore</t>
        </is>
      </c>
      <c r="C8" t="inlineStr">
        <is>
          <t>FY25: 12,626(总capex)</t>
        </is>
      </c>
      <c r="D8" t="inlineStr">
        <is>
          <t>FY26: 14,918(增长capex)</t>
        </is>
      </c>
      <c r="E8" t="inlineStr">
        <is>
          <t>—</t>
        </is>
      </c>
      <c r="F8" t="inlineStr">
        <is>
          <t>FY26已达成；FY27传言1.7-1.9万crore未核实</t>
        </is>
      </c>
      <c r="G8" t="inlineStr">
        <is>
          <t>新闻稿总capex/增长capex口径</t>
        </is>
      </c>
      <c r="H8" t="inlineStr">
        <is>
          <t>Vedanta Q4FY25(2025-04-30)/Q4FY26(2026-04-29)业绩稿</t>
        </is>
      </c>
      <c r="I8" t="inlineStr">
        <is>
          <t>官网人工</t>
        </is>
      </c>
    </row>
    <row r="9">
      <c r="A9" t="inlineStr">
        <is>
          <t>Hindustan Zinc(财年止3月)</t>
        </is>
      </c>
      <c r="B9" t="inlineStr">
        <is>
          <t>INR·crore</t>
        </is>
      </c>
      <c r="C9" t="inlineStr">
        <is>
          <t>FY25: 4,430(utilised)</t>
        </is>
      </c>
      <c r="D9" t="inlineStr">
        <is>
          <t>FY26官方未单列</t>
        </is>
      </c>
      <c r="E9" t="inlineStr">
        <is>
          <t>—</t>
        </is>
      </c>
      <c r="F9" t="inlineStr">
        <is>
          <t>FY27增长capex: $5-6亿(电话会)</t>
        </is>
      </c>
      <c r="G9" t="inlineStr">
        <is>
          <t>Capex utilised口径</t>
        </is>
      </c>
      <c r="H9" t="inlineStr">
        <is>
          <t>HZL FY24-25年报/Q4FY26业绩稿(2026-04-24)</t>
        </is>
      </c>
      <c r="I9" t="inlineStr">
        <is>
          <t>官网人工</t>
        </is>
      </c>
    </row>
    <row r="10">
      <c r="A10" t="inlineStr">
        <is>
          <t>South32(财年止6月)</t>
        </is>
      </c>
      <c r="B10" t="inlineStr">
        <is>
          <t>美元·百万</t>
        </is>
      </c>
      <c r="C10" t="inlineStr">
        <is>
          <t>1080</t>
        </is>
      </c>
      <c r="D10" t="inlineStr">
        <is>
          <t>963</t>
        </is>
      </c>
      <c r="E10" t="inlineStr">
        <is>
          <t>FY26: 1,035（集团325+Hermosa710，不含合资）</t>
        </is>
      </c>
      <c r="F10" t="inlineStr">
        <is>
          <t>FY26指引: 1,400(含合资)/1,075(不含)</t>
        </is>
      </c>
      <c r="G10" t="inlineStr">
        <is>
          <t>不含权益法合资；含则FY25=1,353/H1=709</t>
        </is>
      </c>
      <c r="H10" t="inlineStr">
        <is>
          <t>South32 FY25年报(2025-08-28)/H1 FY26(2026-02-12)/FY26六月季报(2026-07-20)</t>
        </is>
      </c>
      <c r="I10" t="inlineStr">
        <is>
          <t>官网人工</t>
        </is>
      </c>
    </row>
    <row r="11">
      <c r="A11" t="inlineStr">
        <is>
          <t>Ivanhoe</t>
        </is>
      </c>
      <c r="B11" t="inlineStr">
        <is>
          <t>美元·百万</t>
        </is>
      </c>
      <c r="C11" t="inlineStr">
        <is>
          <t>—</t>
        </is>
      </c>
      <c r="D11" t="inlineStr">
        <is>
          <t>—</t>
        </is>
      </c>
      <c r="E11" t="inlineStr">
        <is>
          <t>26Q2: 15.0（H1累计29.0；Q1=14.0, Q2=15.0；Kipushi·100%口径）</t>
        </is>
      </c>
      <c r="F11" t="inlineStr">
        <is>
          <t>Kipushi 2026: 60；2027: 35</t>
        </is>
      </c>
      <c r="G11" t="inlineStr">
        <is>
          <t>Kipushi sustaining capex；集团含Kamoa合资不并表</t>
        </is>
      </c>
      <c r="H11" t="inlineStr">
        <is>
          <t>Ivanhoe Q1 2026财报(2026-05-06)</t>
        </is>
      </c>
      <c r="I11" t="inlineStr">
        <is>
          <t>官网人工</t>
        </is>
      </c>
    </row>
    <row r="12"/>
    <row r="13">
      <c r="A13" t="inlineStr">
        <is>
          <t>注：绿色=iFinD现金流量表自动抓取（季度可更新）；橙色=公司官网财报人工核实（财年口径各异：Vedanta/HZL止3月、South32止6月）。各家资本开支口径不同（净额/总额/增长性），横向比较请注意。Polymetal已私有化，无公开数据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40" customWidth="1" min="3" max="3"/>
  </cols>
  <sheetData>
    <row r="1">
      <c r="A1" s="9" t="inlineStr">
        <is>
          <t>日期</t>
        </is>
      </c>
      <c r="B1" s="9" t="inlineStr">
        <is>
          <t>更新内容</t>
        </is>
      </c>
      <c r="C1" s="9" t="inlineStr">
        <is>
          <t>数据来源</t>
        </is>
      </c>
    </row>
    <row r="2">
      <c r="A2" t="inlineStr">
        <is>
          <t>2026-07-17</t>
        </is>
      </c>
      <c r="B2" t="inlineStr">
        <is>
          <t>首次建立：锌矿季度产量23Q1-26Q1、冶炼企业季度产量23Q1-26Q1、四大矿企资本开支(FY2024/FY2025/26Q1)</t>
        </is>
      </c>
      <c r="C2" t="inlineStr">
        <is>
          <t>工作簿1.xlsx / 冶炼厂.xlsx / iFinD现金流量表</t>
        </is>
      </c>
    </row>
    <row r="3">
      <c r="A3" t="inlineStr">
        <is>
          <t>2026-07-17</t>
        </is>
      </c>
      <c r="B3" t="inlineStr">
        <is>
          <t>补入 Ivanhoe Kipushi 25Q1-26Q2 产量（26Q2=7.02万吨创纪录，环比+8%）；锌矿表新增26Q2列并回填Kipushi历史季度；总计行同步加回Kipushi贡献；Kipushi 2026指引：24-29万吨锌、C1 $0.85-0.95/lb、资本开支$60M(100%口径)。Ivanhoe H1完整财报7月底发布，届时补资本开支实际值。</t>
        </is>
      </c>
      <c r="C3" t="inlineStr">
        <is>
          <t>Ivanhoe Q2 2026产量公告(2026-07-08) / Q1 2026财报(2026-05-06)</t>
        </is>
      </c>
    </row>
    <row r="4">
      <c r="A4" t="inlineStr">
        <is>
          <t>2026-07-17</t>
        </is>
      </c>
      <c r="B4" t="inlineStr">
        <is>
          <t>补入官网核实资本开支：Glencore(FY25净现金PP&amp;E $69亿)、Boliden(FY25 SEK 155亿)、Vedanta(FY26增长capex ₹14,918cr)、HZL(FY25 ₹4,430cr)、South32(FY25 $9.63亿不含合资)、Ivanhoe Kipushi(26Q1 $14M)；资本开支sheet重构为全公司总表（含口径/币种/官方来源），锌矿表备注列同步更新。</t>
        </is>
      </c>
      <c r="C4" t="inlineStr">
        <is>
          <t>各公司官网财报/业绩公告（2026-07-17核实）</t>
        </is>
      </c>
    </row>
    <row r="5">
      <c r="A5" t="inlineStr">
        <is>
          <t>2026-07-20</t>
        </is>
      </c>
      <c r="B5" t="inlineStr">
        <is>
          <t>补入Vedanta 26Q2(Q1FY27,止2026-06-30)产量：Zinc India采矿金属26.8万吨(同比+1%，同期新高，品位改善)；Gamsberg 4.5万吨(同比-2%，环比+10%，二期7月起投产)、BMM 0.3万吨(-73%，Deeps近闭坑)；冶炼表新增26Q2/26Q2同比列，补入HZL精炼锌21.3万吨(+6%)。其余企业Q2报告均未发布：Teck 7/23、Boliden 7/21、MMG 7/21、South32六月季报预计7/20-21(截至今早未挂网)、Glencore产量报告7/29、Ivanhoe财报7/29、Nexa 7/30-8/6、Newmont 7月下旬、Korea Zinc 8月上旬、Mitsui 8/7、Nyrstar不披露季报。iFinD三家(TECK.N/NEXA.N/NEM.N)26Q2现金流量表为空，资本开支无更新。</t>
        </is>
      </c>
      <c r="C5" t="inlineStr">
        <is>
          <t>Vedanta Q1FY27产量公告(2026-07-03官网PDF)/HZL Q1FY27产量公告(2026-07-02)/iFinD现金流量表/各公司IR日历</t>
        </is>
      </c>
    </row>
    <row r="6">
      <c r="A6" t="inlineStr">
        <is>
          <t>2026-07-21</t>
        </is>
      </c>
      <c r="B6" t="inlineStr">
        <is>
          <t>补入South32 26Q2（其FY26 Q4，止2026-06-30，7/20挂网）：Cannington应付锌1.14万吨(同比+8%/环比+25%，地下采矿率自3月洪水影响恢复+品位回升)；FY26锌3.92万吨(-12%)、ZnEq 20.54万吨超指引2%，FY27 ZnEq指引20.47万吨不变；修正Cannington 25Q2产量0→1.06万吨(据2025年6月季报4Q25=10.6kt)，25总计/25同比及总计行同步修正；资本开支表South32 FY26实际=集团325+Hermosa710=10.35亿美元(不含合资)。其余企业Q2报告截至今早(北京时间)均未发布：Boliden今日7/21(瑞典早盘)、MMG预计7/21晚间、Teck 7/23盘前、Newmont 7/23盘后、Glencore产量报告7/29、Ivanhoe财报7/29、Nexa 7/30-8/6、Korea Zinc 8月上旬、Mitsui 8/7、Nyrstar不披露季报；iFinD三家(TECK.N/NEXA.N/NEM.N)26Q2现金流量表仍为空，资本开支无更新。</t>
        </is>
      </c>
      <c r="C6" t="inlineStr">
        <is>
          <t>South32六月2026季报(2026-07-20 ASX/RNS)/Teck、Newmont官网业绩公告/MMG官网/iFinD现金流量表</t>
        </is>
      </c>
    </row>
    <row r="7">
      <c r="A7" t="inlineStr">
        <is>
          <t>2026-07-23</t>
        </is>
      </c>
      <c r="B7" t="inlineStr">
        <is>
          <t>补入MMG 26Q2(7/21港交所/官网)：Dugald River锌4.61万吨(+6%，磨矿量提高+回收率&gt;90%)、Rosebery锌0.95万吨(-25%，金银副产使锌当量3.36万吨持平；C1指引下调至-1.5~-1.0$/lb)；补入Boliden 26Q2(7/21中报)：Tara 1.77万吨(-13%，掘进不及预期，FY26磨矿量指引下调至160万吨)、Garpenberg 0.20万吨(-91%，3月地震后4月底复产、仅未受影响矿体)、Neves-Corvo/Somincor 2.79万吨(+7%)、Zinkgruvan 1.68万吨(-24%)；冶炼表补Boliden-Odda 3.98万吨(-13%/环比+20%，新焙烧炉爬坡慢于预期)、Boliden-Kokkola 6.53万吨(-9%，计划检修+工艺扰动)；Boliden H1资本开支SEK 77.32亿入资本开支表，2026集团capex指引修正为155亿(维持性65亿)。其余未到披露日：Teck今晚7/23盘前(美东)、Newmont 7/23盘后(美东)、Glencore产量报告7/29、Ivanhoe财报7/29、Nexa 7/30-8/6、Korea Zinc 8月上旬、Mitsui 8/7、Nyrstar不披露季报。</t>
        </is>
      </c>
      <c r="C7" t="inlineStr">
        <is>
          <t>MMG Q2 2026产量报告(2026-07-21 HKEX 2026072100440/mmg.com)/Boliden Q2 2026中报(2026-07-21 investors.boliden.com PDF)</t>
        </is>
      </c>
    </row>
    <row r="8">
      <c r="A8" t="inlineStr">
        <is>
          <t>2026-07-23</t>
        </is>
      </c>
      <c r="B8" t="inlineStr">
        <is>
          <t>补入Teck 26Q2（7/23美东盘前发布）：Red Dog锌精矿11.2万吨(同比-18%，品位如矿山计划下降；Q3销量指引22-27万吨，发运季7/12启动)、Antamina锌5.4万吨(100%口径，同比-62%，入选铜锌矿比例降至33% vs 去年同期77%，矿山计划所致)、Trail精炼锌4.98万吨(同比-2%，铅回路计划检修，已含年度指引)；FY2026指引维持不变(Red Dog 37.5-41.5万吨、Antamina权益3.5-4.5万吨、精炼锌19-23万吨)。资本开支：iFinD TECK.N 26Q2现金流量表仍未入库，保留26Q1值并备注新闻稿口径(Q2锌板块PP&amp;E CAD$85M/H1 CAD$135M、公司板块合计CAD$629M)。其余未到披露日：Newmont 7/23美东盘后(=北京7/24晨)、Glencore产量报告7/29、Ivanhoe财报7/29、Nexa 7/30-8/6、Korea Zinc 8月上旬、Mitsui 8/7、Nyrstar不披露季报。</t>
        </is>
      </c>
      <c r="C8" t="inlineStr">
        <is>
          <t>Teck Q2 2026新闻稿(2026-07-23, teck.com/media/Teck-Q2-2026-Unaudited-Results.pdf)/iFinD现金流量表</t>
        </is>
      </c>
    </row>
    <row r="9">
      <c r="A9" t="inlineStr">
        <is>
          <t>2026-07-24</t>
        </is>
      </c>
      <c r="B9" t="inlineStr">
        <is>
          <t>补入Newmont 26Q2（7/23美东盘后发布）：Penasquito锌4.0万吨(同比-40%/环比-35%，副产锌品位下降)；据官方季度表修正25Q4产量0.09→4.6万吨(46kt，原笔误)，25总计修正为23.1万吨(231kt)、25同比修正为-10.2%，总计行同步修正；FY2026锌指引维持22万吨(220kt)不变，原指引列"17-18"同步更正。资本开支：iFinD NEM.N 26Q2现金流量表仍未入库，保留26Q1值641.0并备注新闻稿口径(Q2 capex $719M/H1 $1,360M，Additions to PP&amp;MD含资本化利息)。其余未到披露日：Glencore产量报告7/29、Ivanhoe财报7/29、Nexa 7/30-8/6、Korea Zinc 8月上旬、Mitsui 8/7、Nyrstar不披露季报。</t>
        </is>
      </c>
      <c r="C9" t="inlineStr">
        <is>
          <t>Newmont Q2 2026业绩公告(2026-07-23, SEC 8-K Ex-99.1, 0001164727-26-000034)/iFinD现金流量表</t>
        </is>
      </c>
    </row>
    <row r="10">
      <c r="A10" t="inlineStr">
        <is>
          <t>2026-07-26</t>
        </is>
      </c>
      <c r="B10" t="inlineStr">
        <is>
          <t>核查7/24以来无新发布（Glencore H1产量报告确认7/29、Ivanhoe Q2财报7/29、Nexa确认8/5、Korea Zinc约8/6、Mitsui约8/7-8/10、Peñoles预计8月初，均未到披露日）；补入26Q2资本开支官方值：Teck锌板块PP&amp;E CAD$85M(Q2)/集团CAD$629M、Newmont $719M(现金流)/$723M(应计)；已建定时任务7/30、8/10自动跟进。</t>
        </is>
      </c>
      <c r="C10" t="inlineStr">
        <is>
          <t>Teck Q2 2026新闻稿(2026-07-23)/Newmont Q2 2026 8-K(2026-07-23)/Glencore官网H1 2026结果页/Nexa IR日历</t>
        </is>
      </c>
    </row>
    <row r="11">
      <c r="A11" t="inlineStr">
        <is>
          <t>2026-07-29</t>
        </is>
      </c>
      <c r="B11" t="inlineStr">
        <is>
          <t>Boliden 指引口径修正：Garpenberg=地震后磨矿1.5Mt折算（事件年）、Tara=磨矿1.6Mt（Q2下调）；Kazzinc 改无单体指引（集团指引70-74万吨）；Antamina 行改标 100% 口径并去除权益指引</t>
        </is>
      </c>
      <c r="C11" t="inlineStr">
        <is>
          <t>Boliden/Glencore/Teck Q2 2026 季报</t>
        </is>
      </c>
    </row>
    <row r="12">
      <c r="A12" t="inlineStr">
        <is>
          <t>2026-07-29</t>
        </is>
      </c>
      <c r="B12" t="inlineStr">
        <is>
          <t>Vazante 指引更正为 Nexa 2026 官方 12.8-14.5 万吨（原 10-11 为旧指引）</t>
        </is>
      </c>
      <c r="C12" t="inlineStr">
        <is>
          <t>Nexa 2026 guidance PDF（2026-02）</t>
        </is>
      </c>
    </row>
    <row r="13">
      <c r="A13" t="inlineStr">
        <is>
          <t>2026-07-29</t>
        </is>
      </c>
      <c r="B13" t="inlineStr">
        <is>
          <t>Glencore H1报告：集团锌H1 36.56万吨(-21%,Lady Loretta终结/Antamina品位降/Kidd出售)；Kazzinc/McArthur/Mount Isa三行Q1按官方口径重述并录Q2(5.37/7.00/3.91)；集团FY26锌指引700-740kt维持（未扣Kidd出售约20kt,隐含同口径上调）</t>
        </is>
      </c>
      <c r="C13" t="inlineStr">
        <is>
          <t>Glencore H1 2026 Production Report（官方PDF）</t>
        </is>
      </c>
    </row>
    <row r="14">
      <c r="A14" t="inlineStr">
        <is>
          <t>2026-07-29</t>
        </is>
      </c>
      <c r="B14" t="inlineStr">
        <is>
          <t>锌矿表新增16家公司（对照券商跟踪表补缺）：紫金矿业/Peñoles/Volcan/Southern Copper/BHP/Fresnillo/Sibanye-Stillwater/KAZ Minerals/Pan American Silver/Buenaventura/Adriatic Metals(DPM)/Hudbay 为官方季报口径（部分单季为官方累计值推算，备注注明）；Adriatic 25Q3/Q4/25Y为券商口径待核；Lundin(2025-04-16锌资产售予Boliden)/Sierra Metals(2025-08私有化退市)/Almina/Mehdiabad为占位行；已补26Q2：Fresnillo/Hudbay/Southern Copper/Buenaventura/Volcan/BHP；总计行改为全部公司行求和重算（旧静态总计与求和有偏差，以重算为准）。build_site.py锌矿/锌锭抽取改为动态定位总计行。</t>
        </is>
      </c>
      <c r="C14" t="inlineStr">
        <is>
          <t>各公司官方季报/Operational Review/MD&amp;A（2026-07-29核查）；券商跟踪表截图(2026-07)作交叉校验</t>
        </is>
      </c>
    </row>
    <row r="15">
      <c r="A15" t="inlineStr">
        <is>
          <t>2026-07-29</t>
        </is>
      </c>
      <c r="B15" t="inlineStr">
        <is>
          <t>补入iFinD Q2现金流量表数据：Teck 26Q2资本开支538.3（H1累计1,025.7；Q1=487.4），Newmont 26Q2资本开支719.0（H1累计1,360.0；Q1=641.0）。其余企业Q2报告截至今早(北京时间)均未发布：Glencore产量报告预计今日7/29下午(英国7:00)、Ivanhoe财报今晚美东收盘后(=北京7/30晨)、Nexa 8/6、Korea Zinc 8月上旬、Mitsui 8/7、Nyrstar不披露季报；NEXA.N/1208.HK iFinD Q2现金流量表仍为空。</t>
        </is>
      </c>
      <c r="C15" t="inlineStr">
        <is>
          <t>iFinD现金流量表（TECK.N 20260630: purchase_of_ppe_and_ia_oas=1,025.7；NEM.N 20260630: purchase_of_ppe_and_ia_oas=1,360.0）</t>
        </is>
      </c>
    </row>
    <row r="16">
      <c r="A16" t="inlineStr">
        <is>
          <t>2026-07-30</t>
        </is>
      </c>
      <c r="B16" t="inlineStr">
        <is>
          <t>补入Glencore 2026-H1 Production Report(2026-07-29)三矿山26Q2产量：Kazzinc 3.05万吨(同比-4.7%)、McArthur River 7.00万吨(同比+4.8%)、Mount Isa 3.91万吨(同比-46.1%)；补入Ivanhoe Q2 2026财报(2026-07-29盘后) Kipushi资本开支：Q2=15.0M USD(H1累计29.0M；Q1=14.0M)。锌矿产量总计行同步重算。</t>
        </is>
      </c>
      <c r="C16" t="inlineStr">
        <is>
          <t>Glencore 2026-H1 Production Report(PDF, 2026-07-29) / Ivanhoe Q2 2026财报(2026-07-29, ivanhoesmines.com)</t>
        </is>
      </c>
    </row>
    <row r="17">
      <c r="A17" t="inlineStr">
        <is>
          <t>2026-07-30</t>
        </is>
      </c>
      <c r="B17" t="inlineStr">
        <is>
          <t>事故恢复：今晨 09:52 锌表被旧内存副本覆盖保存，丢失 07-29 晚的 16 家新增行/指引修正/日志；已按「部署态+今晨新工作」恢复——16 行按 _zinc_add_companies_20260729.py 重放、Teck/NEXA/Boliden/Kazzinc 指引单元格从 07-29 23:17 备份还原、保留今晨 Glencore 三矿山 Zinc in concentrates 口径重述(Kazzinc 26Q1/26Q2=1.78/3.05)与 iFinD 26Q2 资本开支；总计行重算 26Q1=143.3153。恢复前状态已存 backup/_备份_20260730_恢复前.xlsx</t>
        </is>
      </c>
      <c r="C17" t="inlineStr">
        <is>
          <t>财报跟踪平台 git HEAD(data.js 09:44 部署态) + backup/全球锌企季度产量梳理_备份_20260729_2317.xlsx</t>
        </is>
      </c>
    </row>
    <row r="18">
      <c r="A18" t="inlineStr">
        <is>
          <t>2026-08-06</t>
        </is>
      </c>
      <c r="B18" t="inlineStr">
        <is>
          <t>锌表遭旧副本覆盖（回退至 ~07-23 状态），自平台 08-04 构建数据恢复全部公司行与 26Q2 数据</t>
        </is>
      </c>
      <c r="C18" t="inlineStr">
        <is>
          <t>平台 git 历史 data.a05a015c.js</t>
        </is>
      </c>
    </row>
    <row r="19">
      <c r="A19" t="inlineStr">
        <is>
          <t>2026-08-18</t>
        </is>
      </c>
      <c r="B19" t="inlineStr">
        <is>
          <t>新增骨架行5家：Silvercorp/CAML/Hecla（优先新增，铅目录同步）+西部矿业/华钰矿业（跨品种修正，原仅铅目录）；数据列占位待回填；总计行为静态数值，新行未计入（占位无数据）</t>
        </is>
      </c>
      <c r="C19" t="inlineStr">
        <is>
          <t>审计建议（16家优先新增+8个跨品种归类修正，2026-08-18）</t>
        </is>
      </c>
    </row>
    <row r="20">
      <c r="A20" t="inlineStr">
        <is>
          <t>2026-08-18</t>
        </is>
      </c>
      <c r="B20" t="inlineStr">
        <is>
          <t>新增骨架行2家：株冶集团/锌业股份（跨品种修正，原仅铅目录精炼铅）；数据列占位待回填</t>
        </is>
      </c>
      <c r="C20" t="inlineStr">
        <is>
          <t>审计建议（16家优先新增+8个跨品种归类修正，2026-08-18）</t>
        </is>
      </c>
    </row>
    <row r="21">
      <c r="A21" t="inlineStr">
        <is>
          <t>2026-08-06</t>
        </is>
      </c>
      <c r="B21" t="inlineStr">
        <is>
          <t>Nexa、Korea Zinc Q2 2026财报已发布：Nexa于8/5盘后发布Q2 2026（Net Income $98M/Adj EBITDA $286M），Korea Zinc于8/5发布Q2 2026（Revenue 6.37T KRW/OP 587B KRW/Net Profit 351.5B KRW）。但详细分矿山/冶炼厂产量数据及资本开支暂未在公开渠道获取，26Q2列留空待补充；Mitsui Mining预计8/7发布。其余企业（Vedanta、Teck、Glencore、Boliden、MMG、Newmont、South32、Ivanhoe）Q2数据均已在此前更新。</t>
        </is>
      </c>
      <c r="C21" t="inlineStr">
        <is>
          <t>Nexa IR(ri.nexaresources.com, 2026-08-05)/Korea Zinc earnings news(Yonhap/RTTNews, 2026-08-05)/Yahoo Finance NEXA quarterly cashflow</t>
        </is>
      </c>
    </row>
    <row r="22">
      <c r="A22" t="inlineStr">
        <is>
          <t>2026-08-12</t>
        </is>
      </c>
      <c r="B22" t="inlineStr">
        <is>
          <t>补入Nexa 26Q2 iFinD现金流量表数据：H1资本开支164.0百万USD（Q1=71.7, Q2=92.2）；Nexa合并矿山锌产量79kt(+8%)、合并冶炼锌金属+氧化125kt(-10%)已在财报中披露，但分矿山/分冶炼厂产量数据未单独披露，锌矿表和冶炼表备注已更新。其余企业（Korea Zinc、Mitsui Mining、Glencore冶炼厂、Nyrstar）Q2详细产量数据在公开渠道仍无法获取。</t>
        </is>
      </c>
      <c r="C22" t="inlineStr">
        <is>
          <t>iFinD现金流量表（NEXA.N 20260630: purchase_of_ppe_and_ia_oas=163.988）/ Nexa Q2 2026财报及Nexa Peru财报</t>
        </is>
      </c>
    </row>
    <row r="23">
      <c r="A23" t="inlineStr">
        <is>
          <t>2026-08-21</t>
        </is>
      </c>
      <c r="B23" t="inlineStr">
        <is>
          <t>补入Glencore冶炼26Q2产量22.09万吨(同比-6.2%，来自Glencore 2026-H1 Report)；补入MMG(1208.HK) 26H1资本开支553.8百万USD（iFinD现金流量表20260630首次入库，无Q1单季数据）。其余企业Q2详细产量/资本开支数据在公开渠道仍无法获取：Korea Zinc分冶炼厂、Mitsui Mining、Nexa分冶炼厂、Nyrstar。</t>
        </is>
      </c>
      <c r="C23" t="inlineStr">
        <is>
          <t>Glencore 2026-H1 Report(PDF, 2026-07-29)/iFinD现金流量表（1208.HK 20260630）</t>
        </is>
      </c>
    </row>
    <row r="24">
      <c r="A24" t="inlineStr">
        <is>
          <t>2026-08-21</t>
        </is>
      </c>
      <c r="B24" t="inlineStr">
        <is>
          <t>事故恢复（第4次）：真库被旧内存副本覆盖保存，锌矿表回退到 08-18 版式统一前、丢失 07-29 新增的 16 家公司行与 08-18 的 7 家骨架行（紫金矿业/Fresnillo 等），致 caibao-hub 构建 3 条核对 FAIL（锌矿总计26Q1/紫金25总计/Fresnillo 26Q2）。以 excel/锌.xlsx（08-18 统一版式完整态）为基线，并回真库 08-06(Nexa/Korea Zinc财报)/08-12(Nexa资本开支)/08-21(Glencore冶炼26Q2+MMG 26H1资本开支) 三笔更新后恢复。</t>
        </is>
      </c>
      <c r="C24" t="inlineStr">
        <is>
          <t>excel/锌.xlsx 与真库逐格对比（2026-08-21）；备份见 caibao-hub/backup_20260821/</t>
        </is>
      </c>
    </row>
    <row r="25">
      <c r="A25" t="inlineStr">
        <is>
          <t>2026-08-23</t>
        </is>
      </c>
      <c r="B25" t="inlineStr">
        <is>
          <t>Nexa 2Q26 分矿产量入库：Cerro Lindo 2.16/2.19、Vazante 3.26/3.26（修正Q1）+ 新增 El Porvenir/Atacocha/Aripuanã 三行；NEXA 26Q2 锌合计 7.93 万吨（+7.9%）；总计行 SUM 范围已扩</t>
        </is>
      </c>
      <c r="C25" t="inlineStr">
        <is>
          <t>SEC EDGAR 6-K ex99-1（2026-08-05）sec.gov/Archives/edgar/data/1713930/000129281426004059/ex99-1.htm</t>
        </is>
      </c>
    </row>
    <row r="26">
      <c r="A26" t="inlineStr">
        <is>
          <t>2026-08-23</t>
        </is>
      </c>
      <c r="B26" t="inlineStr">
        <is>
          <t>锌 26Q2 欠账公司补录（紫金/Peñoles/Sibanye/KAZ/PanAm/Adriatic/Silvercorp/CAM/Hecla/西部矿业/华钰/株冶/锌业/KoreaZinc/SMC/Mitsui/Torreon）</t>
        </is>
      </c>
      <c r="C26" t="inlineStr">
        <is>
          <t>各公司官方IR/财报 + SMM快讯 + 新浪海外锌矿Q2追踪（详见各行动因列）</t>
        </is>
      </c>
    </row>
    <row r="27">
      <c r="A27" t="inlineStr">
        <is>
          <t>2026-08-23</t>
        </is>
      </c>
      <c r="B27" t="inlineStr">
        <is>
          <t>锌批A：Silvercorp 26Q2=0.1996万吨(6-K)；Hecla→未披露(仅精矿吨数)；株冶冶炼→未披露(中报仅财务口径)</t>
        </is>
      </c>
      <c r="C27" t="inlineStr">
        <is>
          <t>Silvercorp 6-K 7/15；Hecla 8-K ex99.1 8/4；株冶2026中报</t>
        </is>
      </c>
    </row>
    <row r="28">
      <c r="A28" t="inlineStr">
        <is>
          <t>2026-08-25</t>
        </is>
      </c>
      <c r="B28" t="inlineStr">
        <is>
          <t>锌 26Q2 批B：KAZ 1.13/PanAm 1.56/CAML 0.4812/西部矿业 H1=6.3906；Sibanye·DPM·华钰·锌业 待发布/待拆</t>
        </is>
      </c>
      <c r="C28" t="inlineStr">
        <is>
          <t>KAZ 官网（8/11）；PanAm（8/12）；CAML RNS（7/8）；西部矿业中报；DPM（7/30）</t>
        </is>
      </c>
    </row>
    <row r="29">
      <c r="A29" t="inlineStr">
        <is>
          <t>2026-08-31</t>
        </is>
      </c>
      <c r="B29" t="inlineStr">
        <is>
          <t>锌 26Q2 欠账收口：紫金9.2413（中报H1矿山产锌176,922t−Q1官方84,509t推算）；Três Marias 3.37/Cajamarquilla 6.20（Nexa 2Q26分厂表，后者5月火灾-26%）；Polymetal/South32-Capela/SMC 标-（私有化无披露/South32季报无该资产·归属存疑/Korea Zinc 2Q26 IR起不再披露分厂产量）</t>
        </is>
      </c>
      <c r="C29" t="inlineStr">
        <is>
          <t>紫金2026半年报cninfo 1225493590（8/22）；Nexa 2Q26 SEC 6-K ex99-1（8/5）；South32 June2026季报（7/20 Investegate）；Korea Zinc 2Q26 IR（8/6）；akm.ru/Solidcore官网</t>
        </is>
      </c>
    </row>
    <row r="30">
      <c r="A30" t="inlineStr">
        <is>
          <t>2026-08-31</t>
        </is>
      </c>
      <c r="B30" t="inlineStr">
        <is>
          <t>锌锭 26Q2 回填：Mitsui Mining 4.5（三井金属FY27/3 Q1决算说明资料45kt）；Korea Zinc=未披露（Q2财报仅销量146,374MT）</t>
        </is>
      </c>
      <c r="C30" t="inlineStr">
        <is>
          <t>三井金属决算说明资料 8/7；Korea Zinc IR Earnings Release 8/6</t>
        </is>
      </c>
    </row>
    <row r="31">
      <c r="A31" t="inlineStr">
        <is>
          <t>2026-08-31</t>
        </is>
      </c>
      <c r="B31" t="inlineStr">
        <is>
          <t>26Q2 文本格规整：西部矿业 H1=6.3906→Q1/Q2 各 3.1953（平分拟合）；Hecla/Korea Zinc/中国(未披露)→'-'（已核实无季度数据）</t>
        </is>
      </c>
      <c r="C31" t="inlineStr">
        <is>
          <t>西部矿业中报 7/30；Hecla 2Q26 财报 8/4；Korea Zinc IR 8/6</t>
        </is>
      </c>
    </row>
    <row r="32">
      <c r="A32" t="inlineStr">
        <is>
          <t>2026-10-07</t>
        </is>
      </c>
      <c r="B32" t="inlineStr">
        <is>
          <t>开 26Q3 列。Vedanta Q2FY27(7-9月)入库：Zinc India 采矿金属 27.1万吨(+5% YoY)→锌矿 Vedanta 行；HZL 精炼锌 21.2万吨(+5%)→冶炼 Zawar &amp; Rampura 行。Zinc International 采矿 5.3万吨(-12%，Gamsberg 二期已投产、10 月商业放量)——锌矿表 Zinc India/Zinc International 两行历史值口径存疑，本季暂不写入，待核口径。</t>
        </is>
      </c>
      <c r="C32" t="inlineStr">
        <is>
          <t>Vedanta Q2FY27 Production Release 2026-10-03</t>
        </is>
      </c>
    </row>
    <row r="33">
      <c r="A33" t="inlineStr">
        <is>
          <t>2026-10-14</t>
        </is>
      </c>
      <c r="B33" t="inlineStr">
        <is>
          <t>Ivanhoe Kipushi 26Q3=7.71万吨入库（官方新闻稿，精矿含锌77,147吨纪录，环比+10%）</t>
        </is>
      </c>
    </row>
    <row r="34">
      <c r="A34" t="inlineStr">
        <is>
          <t>2026-10-14</t>
        </is>
      </c>
      <c r="B34" t="inlineStr">
        <is>
          <t>Ivanhoe 26Q3 更正变化原因（处理量实为19.4万吨/Q2的20.1万吨才是纪录，此前误写21.4万吨）；补26Q3同比+34.9%（表内口径）</t>
        </is>
      </c>
    </row>
    <row r="35">
      <c r="A35" t="inlineStr">
        <is>
          <t>2026-10-14</t>
        </is>
      </c>
      <c r="B35" t="inlineStr">
        <is>
          <t>26Q2 缺口复核（锌矿/冶炼）：Polymetal 维持'-'（Solidcore Q2'26 产量报告 7/31 仅哈萨克 Kyzyl/Varvara 金，俄资产 2024/3 已售、Ozernoye 无任何披露）；Sierra Metals 26Q2 空格规整为'-'（Alpayana 2025/8/1 完成私有化，无公开季报；另注：Santacruz 季报的 Bolivar 矿在玻利维亚，与 Sierra 墨西哥 Bolivar 同名不同矿，非数据源）；Korea Zinc/SMC 维持'-'（Q2'26 IR 8/6 起不披露分厂/季度锌产量，仅销量 146,374MT）；South32 Cannington 26Q2=1.14 此前已入。26Q3 早鸟：South32 FY27Q1 季报预计 10/20 前后，截至今日未发布。</t>
        </is>
      </c>
      <c r="C35" t="inlineStr">
        <is>
          <t>Solidcore Q2 2026 production results(2026-07-31 solidcore-resources.com)；Korea Zinc 2Q26 IR(2026-08-06)；Santacruz Silver 官网(2026-07-30)；Junior Mining Network(Alpayana 私有化)</t>
        </is>
      </c>
    </row>
    <row r="36">
      <c r="A36" t="inlineStr">
        <is>
          <t>2026-10-26</t>
        </is>
      </c>
      <c r="B36" t="inlineStr">
        <is>
          <t>锌26Q3第一批：Vedanta International(Gamsberg 4.6/BMM 0.7)、MMG(4.7784/0.813)、Newmont 6.7、South32 0.88、紫金8.0736、SCCO 4.188、BHP 1.1、Fresnillo 2.4906、Buenaventura 0.6938、DPM 1.2701、CAML 0.4968、Silvercorp 0.0363万吨入库；其余按官方披露日历标待发布/无季度披露</t>
        </is>
      </c>
      <c r="C36" t="inlineStr">
        <is>
          <t>Vedanta Q2FY27；MMG/Newmont/South32/BHP/Fresnillo/SCCO/Buenaventura/DPM/CAML/Silvercorp官方Q3公告；Teck/Glencore/Boliden/Nexa披露日历</t>
        </is>
      </c>
    </row>
    <row r="37">
      <c r="A37" t="inlineStr">
        <is>
          <t>2026-10-26</t>
        </is>
      </c>
      <c r="B37" t="inlineStr">
        <is>
          <t>MMG Rosebery 2026锌产量指引由4.5-5.5下调至3.2-3.7万吨（X-South地震影响）</t>
        </is>
      </c>
      <c r="C37" t="inlineStr">
        <is>
          <t>MMG Q3 Production Report 2026-10-14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2026-07-17T02:41:22Z</dcterms:created>
  <dcterms:modified xmlns:dcterms="http://purl.org/dc/terms/" xmlns:xsi="http://www.w3.org/2001/XMLSchema-instance" xsi:type="dcterms:W3CDTF">2026-10-26T05:42:56Z</dcterms:modified>
</cp:coreProperties>
</file>