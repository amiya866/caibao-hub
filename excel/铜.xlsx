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铜矿·季度产量" sheetId="1" state="visible" r:id="rId1"/>
    <sheet xmlns:r="http://schemas.openxmlformats.org/officeDocument/2006/relationships" name="国内铜企·季度产量" sheetId="2" state="visible" r:id="rId2"/>
    <sheet xmlns:r="http://schemas.openxmlformats.org/officeDocument/2006/relationships" name="更新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50" customWidth="1" min="24" max="24"/>
    <col width="24" customWidth="1" min="25" max="25"/>
    <col width="55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FreePort</t>
        </is>
      </c>
      <c r="B2" t="inlineStr">
        <is>
          <t>美国/印尼</t>
        </is>
      </c>
      <c r="C2" t="inlineStr">
        <is>
          <t>总铜产量(并表·可回收)</t>
        </is>
      </c>
      <c r="D2" t="n">
        <v>438.11</v>
      </c>
      <c r="E2" t="n">
        <v>484.418</v>
      </c>
      <c r="F2" t="n">
        <v>497.13</v>
      </c>
      <c r="G2" t="n">
        <v>497.13</v>
      </c>
      <c r="H2" t="n">
        <v>1916.788</v>
      </c>
      <c r="I2" t="n">
        <v>492.59</v>
      </c>
      <c r="J2" t="n">
        <v>470.798</v>
      </c>
      <c r="K2" t="n">
        <v>477.154</v>
      </c>
      <c r="L2" t="n">
        <v>472.614</v>
      </c>
      <c r="M2" t="n">
        <v>1913.156</v>
      </c>
      <c r="N2" t="n">
        <v>394.072</v>
      </c>
      <c r="O2" t="n">
        <v>437.2</v>
      </c>
      <c r="P2" t="n">
        <v>414.05</v>
      </c>
      <c r="Q2" t="n">
        <v>290.3</v>
      </c>
      <c r="R2" t="n">
        <v>1542.2</v>
      </c>
      <c r="S2">
        <f>IF(AND(ISNUMBER(R2),ISNUMBER(M2),M2&lt;&gt;0),(R2-M2)/M2,"-")</f>
        <v/>
      </c>
      <c r="T2" t="n">
        <v>300.3</v>
      </c>
      <c r="U2">
        <f>IF(AND(ISNUMBER(T2),ISNUMBER(N2),N2&lt;&gt;0),(T2-N2)/N2,"-")</f>
        <v/>
      </c>
      <c r="V2" t="n">
        <v>356.5</v>
      </c>
      <c r="W2">
        <f>IF(AND(ISNUMBER(V2),ISNUMBER(O2),O2&lt;&gt;0),(V2-O2)/O2,"-")</f>
        <v/>
      </c>
      <c r="X2" t="inlineStr">
        <is>
          <t>2025/9 Grasberg泥石流(80万吨湿料涌入)后爬产:26H2约65%→2027年中80%→2027年底近满产;26Q2销量-29%但实现铜价$6.17/lb</t>
        </is>
      </c>
      <c r="Y2" t="inlineStr">
        <is>
          <t>销量约1406kt(产量隐含约1452,推算)</t>
        </is>
      </c>
      <c r="Z2" t="inlineStr">
        <is>
          <t>PTFI 48.76%持股但100%并表;25Q1-Q3为源表值,25Q4起为官方(640/662/786M lbs);保险赔付6.99亿美元26Q2到账</t>
        </is>
      </c>
    </row>
    <row r="3">
      <c r="A3" t="inlineStr">
        <is>
          <t>Antofagasta</t>
        </is>
      </c>
      <c r="B3" t="inlineStr">
        <is>
          <t>智利</t>
        </is>
      </c>
      <c r="C3" t="inlineStr">
        <is>
          <t>总铜产量(权益)</t>
        </is>
      </c>
      <c r="D3" t="n">
        <v>145.8</v>
      </c>
      <c r="E3" t="n">
        <v>149.6</v>
      </c>
      <c r="F3" t="n">
        <v>173.62</v>
      </c>
      <c r="G3" t="n">
        <v>191.5</v>
      </c>
      <c r="H3" t="n">
        <v>660.52</v>
      </c>
      <c r="I3" t="n">
        <v>129.4</v>
      </c>
      <c r="J3" t="n">
        <v>155.28</v>
      </c>
      <c r="K3" t="n">
        <v>179</v>
      </c>
      <c r="L3" t="n">
        <v>200.3</v>
      </c>
      <c r="M3" t="n">
        <v>663.98</v>
      </c>
      <c r="N3" t="n">
        <v>154.7</v>
      </c>
      <c r="O3" t="n">
        <v>160.2</v>
      </c>
      <c r="P3" t="n">
        <v>161.7</v>
      </c>
      <c r="Q3" t="n">
        <v>177</v>
      </c>
      <c r="R3" t="n">
        <v>653.7</v>
      </c>
      <c r="S3">
        <f>IF(AND(ISNUMBER(R3),ISNUMBER(M3),M3&lt;&gt;0),(R3-M3)/M3,"-")</f>
        <v/>
      </c>
      <c r="T3" t="n">
        <v>143</v>
      </c>
      <c r="U3">
        <f>IF(AND(ISNUMBER(T3),ISNUMBER(N3),N3&lt;&gt;0),(T3-N3)/N3,"-")</f>
        <v/>
      </c>
      <c r="V3" t="n">
        <v>142</v>
      </c>
      <c r="W3">
        <f>IF(AND(ISNUMBER(V3),ISNUMBER(O3),O3&lt;&gt;0),(V3-O3)/O3,"-")</f>
        <v/>
      </c>
      <c r="X3" t="inlineStr">
        <is>
          <t>26Q2约-11%:Centinela/Antucoya品位回收率按计划走低;约7kt Pelambres铜滞留厂内库存递延H2;产量将逐季回升</t>
        </is>
      </c>
      <c r="Y3" t="inlineStr">
        <is>
          <t>650-700(维持)</t>
        </is>
      </c>
      <c r="Z3" t="inlineStr">
        <is>
          <t>Zaldivar按50%权益;26Q2拆分:精矿101.4+电积铜40.5;净现金成本指引$1.15-1.35/lb</t>
        </is>
      </c>
    </row>
    <row r="4">
      <c r="A4" t="inlineStr">
        <is>
          <t>RioTinto</t>
        </is>
      </c>
      <c r="B4" t="inlineStr">
        <is>
          <t>英国/澳洲</t>
        </is>
      </c>
      <c r="C4" t="inlineStr">
        <is>
          <t>总铜产量(consolidated)</t>
        </is>
      </c>
      <c r="D4" t="n">
        <v>189.5</v>
      </c>
      <c r="E4" t="n">
        <v>166.6</v>
      </c>
      <c r="F4" t="n">
        <v>189.24</v>
      </c>
      <c r="G4" t="n">
        <v>192.25</v>
      </c>
      <c r="H4" t="n">
        <v>737.59</v>
      </c>
      <c r="I4" t="n">
        <v>202.65</v>
      </c>
      <c r="J4" t="n">
        <v>216.01</v>
      </c>
      <c r="K4" t="n">
        <v>205.08</v>
      </c>
      <c r="L4" t="n">
        <v>248.51</v>
      </c>
      <c r="M4" t="n">
        <v>872.25</v>
      </c>
      <c r="N4" t="n">
        <v>210</v>
      </c>
      <c r="O4" t="n">
        <v>229</v>
      </c>
      <c r="P4" t="n">
        <v>204</v>
      </c>
      <c r="Q4" t="n">
        <v>240</v>
      </c>
      <c r="R4" t="n">
        <v>883</v>
      </c>
      <c r="S4">
        <f>IF(AND(ISNUMBER(R4),ISNUMBER(M4),M4&lt;&gt;0),(R4-M4)/M4,"-")</f>
        <v/>
      </c>
      <c r="T4" t="n">
        <v>229</v>
      </c>
      <c r="U4">
        <f>IF(AND(ISNUMBER(T4),ISNUMBER(N4),N4&lt;&gt;0),(T4-N4)/N4,"-")</f>
        <v/>
      </c>
      <c r="V4" t="n">
        <v>213</v>
      </c>
      <c r="W4">
        <f>IF(AND(ISNUMBER(V4),ISNUMBER(O4),O4&lt;&gt;0),(V4-O4)/O4,"-")</f>
        <v/>
      </c>
      <c r="X4" t="inlineStr">
        <is>
          <t>26Q2 -7%:Kennecott -49%(岩土管理+6月选厂23天检修,6月底闪速转炉破损拖累H2精炼);OT地下爬坡H1+31%部分对冲</t>
        </is>
      </c>
      <c r="Y4" t="inlineStr">
        <is>
          <t>800-870(维持);C1下调至30-50美分/lb</t>
        </is>
      </c>
      <c r="Z4" t="inlineStr">
        <is>
          <t>consolidated=Kennecott/OT 100%+Escondida 30%权益;23/24为源表口径(与官方consolidated有差异);25Q1-Q3为官方同比反推</t>
        </is>
      </c>
    </row>
    <row r="5">
      <c r="A5" t="inlineStr">
        <is>
          <t>Teck</t>
        </is>
      </c>
      <c r="B5" t="inlineStr">
        <is>
          <t>加拿大</t>
        </is>
      </c>
      <c r="C5" t="inlineStr">
        <is>
          <t>总铜产量(集团,QB按100%)</t>
        </is>
      </c>
      <c r="D5" t="n">
        <v>56.8</v>
      </c>
      <c r="E5" t="n">
        <v>61.45</v>
      </c>
      <c r="F5" t="n">
        <v>53.58</v>
      </c>
      <c r="G5" t="n">
        <v>69.06999999999999</v>
      </c>
      <c r="H5" t="n">
        <v>240.9</v>
      </c>
      <c r="I5" t="n">
        <v>99.02</v>
      </c>
      <c r="J5" t="n">
        <v>110.38</v>
      </c>
      <c r="K5" t="n">
        <v>61.99</v>
      </c>
      <c r="L5" t="n">
        <v>61.36</v>
      </c>
      <c r="M5" t="n">
        <v>332.75</v>
      </c>
      <c r="N5" t="n">
        <v>106.18</v>
      </c>
      <c r="O5" t="n">
        <v>109.13</v>
      </c>
      <c r="P5" t="n">
        <v>104.07</v>
      </c>
      <c r="Q5" t="n">
        <v>134.1</v>
      </c>
      <c r="R5" t="n">
        <v>453.5</v>
      </c>
      <c r="S5">
        <f>IF(AND(ISNUMBER(R5),ISNUMBER(M5),M5&lt;&gt;0),(R5-M5)/M5,"-")</f>
        <v/>
      </c>
      <c r="T5" t="n">
        <v>140</v>
      </c>
      <c r="U5">
        <f>IF(AND(ISNUMBER(T5),ISNUMBER(N5),N5&lt;&gt;0),(T5-N5)/N5,"-")</f>
        <v/>
      </c>
      <c r="V5" t="n">
        <v>135.9</v>
      </c>
      <c r="W5">
        <f>IF(AND(ISNUMBER(V5),ISNUMBER(O5),O5&lt;&gt;0),(V5-O5)/O5,"-")</f>
        <v/>
      </c>
      <c r="X5" t="inlineStr">
        <is>
          <t>26Q2 +25%:各矿全面增产;QB连续三季稳定运行(回收率83.3%),尾矿坝不再制约全年;QB 26Q2=55.8kt</t>
        </is>
      </c>
      <c r="Y5" t="inlineStr">
        <is>
          <t>455-530(维持);净现金成本$1.85-2.20/lb</t>
        </is>
      </c>
      <c r="Z5" t="inlineStr">
        <is>
          <t>QB按100%披露(Teck持60%),集团含Antamina 22.5%权益;Anglo-Teck合并仅剩中国审批(2026/9-2027/3窗口),交割后需口径切换</t>
        </is>
      </c>
    </row>
    <row r="6">
      <c r="A6" t="inlineStr">
        <is>
          <t>KGHM</t>
        </is>
      </c>
      <c r="B6" t="inlineStr">
        <is>
          <t>波兰</t>
        </is>
      </c>
      <c r="C6" t="inlineStr">
        <is>
          <t>总铜产量(集团应付铜)</t>
        </is>
      </c>
      <c r="D6" t="n">
        <v>175.7</v>
      </c>
      <c r="E6" t="n">
        <v>175.7</v>
      </c>
      <c r="F6" t="n">
        <v>176</v>
      </c>
      <c r="G6" t="n">
        <v>183.6</v>
      </c>
      <c r="H6" t="n">
        <v>711</v>
      </c>
      <c r="I6" t="n">
        <v>177.5</v>
      </c>
      <c r="J6" t="n">
        <v>177.1</v>
      </c>
      <c r="K6" t="n">
        <v>185.4</v>
      </c>
      <c r="L6" t="n">
        <v>189.8</v>
      </c>
      <c r="M6" t="n">
        <v>729.8</v>
      </c>
      <c r="N6" t="n">
        <v>168.4</v>
      </c>
      <c r="O6" t="n">
        <v>175.6</v>
      </c>
      <c r="P6" t="n">
        <v>182.5</v>
      </c>
      <c r="Q6" t="n">
        <v>183</v>
      </c>
      <c r="R6" t="n">
        <v>710</v>
      </c>
      <c r="S6">
        <f>IF(AND(ISNUMBER(R6),ISNUMBER(M6),M6&lt;&gt;0),(R6-M6)/M6,"-")</f>
        <v/>
      </c>
      <c r="T6" t="n">
        <v>176</v>
      </c>
      <c r="U6">
        <f>IF(AND(ISNUMBER(T6),ISNUMBER(N6),N6&lt;&gt;0),(T6-N6)/N6,"-")</f>
        <v/>
      </c>
      <c r="V6" t="n">
        <v>175</v>
      </c>
      <c r="W6" t="inlineStr">
        <is>
          <t>-</t>
        </is>
      </c>
      <c r="X6" t="inlineStr">
        <is>
          <t>26Q2=175kt（H1应付铜351kt +2%，减Q1 176kt推算）；波兰本部+International口径</t>
        </is>
      </c>
      <c r="Y6" t="inlineStr">
        <is>
          <t>700-730（集团口径：本部 589.4+Intl 51+SG 90.8≈731kt；战略均值~730/年）</t>
        </is>
      </c>
      <c r="Z6" t="inlineStr">
        <is>
          <t>Sierra Gorda 55%权益;C1成本$1.69/lb(-35%,26Q1);每月22-25日发布月度初步产销</t>
        </is>
      </c>
    </row>
    <row r="7">
      <c r="A7" t="inlineStr">
        <is>
          <t>Nornickel</t>
        </is>
      </c>
      <c r="B7" t="inlineStr">
        <is>
          <t>俄罗斯</t>
        </is>
      </c>
      <c r="C7" t="inlineStr">
        <is>
          <t>本部铜(俄原料)</t>
        </is>
      </c>
      <c r="D7" t="n">
        <v>91.63</v>
      </c>
      <c r="E7" t="n">
        <v>77.04000000000001</v>
      </c>
      <c r="F7" t="n">
        <v>82.84</v>
      </c>
      <c r="G7" t="n">
        <v>104.87</v>
      </c>
      <c r="H7" t="n">
        <v>356.38</v>
      </c>
      <c r="I7" t="n">
        <v>92.31</v>
      </c>
      <c r="J7" t="n">
        <v>90.73</v>
      </c>
      <c r="K7" t="n">
        <v>90.84</v>
      </c>
      <c r="L7" t="n">
        <v>88.64</v>
      </c>
      <c r="M7" t="n">
        <v>362.52</v>
      </c>
      <c r="N7" t="n">
        <v>91.8</v>
      </c>
      <c r="O7" t="n">
        <v>85.70999999999999</v>
      </c>
      <c r="P7" t="n">
        <v>83.84999999999999</v>
      </c>
      <c r="Q7" t="n">
        <v>93.59999999999999</v>
      </c>
      <c r="R7" t="n">
        <v>355</v>
      </c>
      <c r="S7">
        <f>IF(AND(ISNUMBER(R7),ISNUMBER(M7),M7&lt;&gt;0),(R7-M7)/M7,"-")</f>
        <v/>
      </c>
      <c r="T7" t="n">
        <v>80</v>
      </c>
      <c r="U7">
        <f>IF(AND(ISNUMBER(T7),ISNUMBER(N7),N7&lt;&gt;0),(T7-N7)/N7,"-")</f>
        <v/>
      </c>
      <c r="V7" t="n">
        <v>86.59999999999999</v>
      </c>
      <c r="W7" t="inlineStr">
        <is>
          <t>-</t>
        </is>
      </c>
      <c r="X7" t="inlineStr">
        <is>
          <t>26Q2铜总量104.4kt=本部86.6+外贝加尔17.8；FY26指引本部336-356kt维持</t>
        </is>
      </c>
      <c r="Y7" t="inlineStr">
        <is>
          <t>336-356(本部)</t>
        </is>
      </c>
      <c r="Z7" t="inlineStr">
        <is>
          <t>25Q4为推算(355-前三季);合并口径另含Bystrinsky</t>
        </is>
      </c>
    </row>
    <row r="8">
      <c r="A8" t="inlineStr">
        <is>
          <t>Nornickel</t>
        </is>
      </c>
      <c r="B8" t="inlineStr">
        <is>
          <t>俄罗斯</t>
        </is>
      </c>
      <c r="C8" t="inlineStr">
        <is>
          <t>Bystrinsky外贝加尔(精矿含铜)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69-73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2026俄罗斯铜精矿产量预计+10%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70</v>
      </c>
      <c r="S8" t="inlineStr">
        <is>
          <t>-</t>
        </is>
      </c>
      <c r="T8" t="n">
        <v>18.5</v>
      </c>
      <c r="U8" t="inlineStr">
        <is>
          <t>-</t>
        </is>
      </c>
      <c r="V8" t="n">
        <v>17.8</v>
      </c>
      <c r="W8" t="inlineStr">
        <is>
          <t>-</t>
        </is>
      </c>
      <c r="X8" t="inlineStr">
        <is>
          <t>26Q2 17.8kt(-4% QoQ)；FY26指引69-73kt维持</t>
        </is>
      </c>
      <c r="Y8" t="inlineStr">
        <is>
          <t>待发布(H1~7/27当周)</t>
        </is>
      </c>
      <c r="Z8" t="inlineStr">
        <is>
          <t>受美制裁;26Q1 +6%(处理量与品位提升)</t>
        </is>
      </c>
    </row>
    <row r="9">
      <c r="A9" t="inlineStr">
        <is>
          <t>South32</t>
        </is>
      </c>
      <c r="B9" t="inlineStr">
        <is>
          <t>智利</t>
        </is>
      </c>
      <c r="C9" t="inlineStr">
        <is>
          <t>Sierra Gorda(45%应付铜)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13.9</v>
      </c>
      <c r="J9" t="n">
        <v>15.3</v>
      </c>
      <c r="K9" t="n">
        <v>17.6</v>
      </c>
      <c r="L9" t="n">
        <v>19.1</v>
      </c>
      <c r="M9" t="n">
        <v>65.90000000000001</v>
      </c>
      <c r="N9" t="n">
        <v>17</v>
      </c>
      <c r="O9" t="n">
        <v>17.7</v>
      </c>
      <c r="P9" t="n">
        <v>18.3</v>
      </c>
      <c r="Q9" t="n">
        <v>18</v>
      </c>
      <c r="R9" t="n">
        <v>69.2</v>
      </c>
      <c r="S9">
        <f>IF(AND(ISNUMBER(R9),ISNUMBER(M9),M9&lt;&gt;0),(R9-M9)/M9,"-")</f>
        <v/>
      </c>
      <c r="T9" t="n">
        <v>16.9</v>
      </c>
      <c r="U9">
        <f>IF(AND(ISNUMBER(T9),ISNUMBER(N9),N9&lt;&gt;0),(T9-N9)/N9,"-")</f>
        <v/>
      </c>
      <c r="V9" t="n">
        <v>16</v>
      </c>
      <c r="W9">
        <f>IF(AND(ISNUMBER(V9),ISNUMBER(O9),O9&lt;&gt;0),(V9-O9)/O9,"-")</f>
        <v/>
      </c>
      <c r="X9" t="inlineStr">
        <is>
          <t>26Q2 -10%:雨季后低品位物料补充入选;FY26 CuEq 87.1kt超指引2%;第四条磨矿线FID(+25%处理量,FY31起份额产量+~30%)</t>
        </is>
      </c>
      <c r="Y9" t="inlineStr">
        <is>
          <t>FY27 CuEq 90.2kt(45%份额)</t>
        </is>
      </c>
      <c r="Z9" t="inlineStr">
        <is>
          <t>财年止6月已做日历映射;KGHM持55%;FY26=69.2kt</t>
        </is>
      </c>
    </row>
    <row r="10">
      <c r="A10" t="inlineStr">
        <is>
          <t>Vale</t>
        </is>
      </c>
      <c r="B10" t="inlineStr">
        <is>
          <t>巴西</t>
        </is>
      </c>
      <c r="C10" t="inlineStr">
        <is>
          <t>总铜产量(Salobo+Sossego+加拿大)</t>
        </is>
      </c>
      <c r="D10" t="n">
        <v>67</v>
      </c>
      <c r="E10" t="n">
        <v>78.75</v>
      </c>
      <c r="F10" t="n">
        <v>81.59999999999999</v>
      </c>
      <c r="G10" t="n">
        <v>99</v>
      </c>
      <c r="H10" t="n">
        <v>326.35</v>
      </c>
      <c r="I10" t="n">
        <v>81.90000000000001</v>
      </c>
      <c r="J10" t="n">
        <v>78.59999999999999</v>
      </c>
      <c r="K10" t="n">
        <v>85.8</v>
      </c>
      <c r="L10" t="n">
        <v>102</v>
      </c>
      <c r="M10" t="n">
        <v>348.3</v>
      </c>
      <c r="N10" t="n">
        <v>90.89</v>
      </c>
      <c r="O10" t="n">
        <v>92.7</v>
      </c>
      <c r="P10" t="n">
        <v>90.7</v>
      </c>
      <c r="Q10" t="n">
        <v>108.1</v>
      </c>
      <c r="R10" t="n">
        <v>382</v>
      </c>
      <c r="S10">
        <f>IF(AND(ISNUMBER(R10),ISNUMBER(M10),M10&lt;&gt;0),(R10-M10)/M10,"-")</f>
        <v/>
      </c>
      <c r="T10" t="n">
        <v>102.3</v>
      </c>
      <c r="U10">
        <f>IF(AND(ISNUMBER(T10),ISNUMBER(N10),N10&lt;&gt;0),(T10-N10)/N10,"-")</f>
        <v/>
      </c>
      <c r="V10" t="n">
        <v>98.40000000000001</v>
      </c>
      <c r="W10">
        <f>IF(AND(ISNUMBER(V10),ISNUMBER(O10),O10&lt;&gt;0),(V10-O10)/O10,"-")</f>
        <v/>
      </c>
      <c r="X10" t="inlineStr">
        <is>
          <t>26Q2 +6%:Salobo创Q2纪录,Sossego抢大修前最大化运行;H1已产200.7kt年化~400跑赢指引上沿;但2H Sossego 110天SAG大修(8月启动)</t>
        </is>
      </c>
      <c r="Y10" t="inlineStr">
        <is>
          <t>350-380(Vale Day);2030目标420-500</t>
        </is>
      </c>
      <c r="Z10" t="inlineStr">
        <is>
          <t>finished产量口径;2025=382(+9.8%)超指引上沿;26Q2实现铜价$14,062/t</t>
        </is>
      </c>
    </row>
    <row r="11">
      <c r="A11" t="inlineStr">
        <is>
          <t>BHP</t>
        </is>
      </c>
      <c r="B11" t="inlineStr">
        <is>
          <t>澳洲</t>
        </is>
      </c>
      <c r="C11" t="inlineStr">
        <is>
          <t>总铜产量(Escondida按100%)</t>
        </is>
      </c>
      <c r="D11" t="n">
        <v>405.9</v>
      </c>
      <c r="E11" t="n">
        <v>476.2</v>
      </c>
      <c r="F11" t="n">
        <v>457</v>
      </c>
      <c r="G11" t="n">
        <v>437.4</v>
      </c>
      <c r="H11" t="n">
        <v>1776.5</v>
      </c>
      <c r="I11" t="n">
        <v>465.81</v>
      </c>
      <c r="J11" t="n">
        <v>504.77</v>
      </c>
      <c r="K11" t="n">
        <v>476.33</v>
      </c>
      <c r="L11" t="n">
        <v>510.7</v>
      </c>
      <c r="M11" t="n">
        <v>1957.61</v>
      </c>
      <c r="N11" t="n">
        <v>513.2</v>
      </c>
      <c r="O11" t="n">
        <v>516.2</v>
      </c>
      <c r="P11" t="n">
        <v>493.6</v>
      </c>
      <c r="Q11" t="n">
        <v>491</v>
      </c>
      <c r="R11" t="n">
        <v>1953</v>
      </c>
      <c r="S11">
        <f>IF(AND(ISNUMBER(R11),ISNUMBER(M11),M11&lt;&gt;0),(R11-M11)/M11,"-")</f>
        <v/>
      </c>
      <c r="T11" t="n">
        <v>477</v>
      </c>
      <c r="U11">
        <f>IF(AND(ISNUMBER(T11),ISNUMBER(N11),N11&lt;&gt;0),(T11-N11)/N11,"-")</f>
        <v/>
      </c>
      <c r="V11" t="n">
        <v>491.9</v>
      </c>
      <c r="W11">
        <f>IF(AND(ISNUMBER(V11),ISNUMBER(O11),O11&lt;&gt;0),(V11-O11)/O11,"-")</f>
        <v/>
      </c>
      <c r="X11" t="inlineStr">
        <is>
          <t>FY26(止6月)1953kt(-3%):Escondida入选品位按计划下滑(0.90% vs 1.02%);FY27指引大降至1650-1800</t>
        </is>
      </c>
      <c r="Y11" t="inlineStr">
        <is>
          <t>FY27(财年):1650-1800</t>
        </is>
      </c>
      <c r="Z11" t="inlineStr">
        <is>
          <t>Escondida按100%计入(权益57.5%);财年止6月;Copper SA FY26=321kt(Olympic Dam 20年最高)</t>
        </is>
      </c>
    </row>
    <row r="12">
      <c r="A12" t="inlineStr">
        <is>
          <t>Glencore</t>
        </is>
      </c>
      <c r="B12" t="inlineStr">
        <is>
          <t>瑞士</t>
        </is>
      </c>
      <c r="C12" t="inlineStr">
        <is>
          <t>总铜产量(own sourced)</t>
        </is>
      </c>
      <c r="D12" t="n">
        <v>244.1</v>
      </c>
      <c r="E12" t="n">
        <v>243.9</v>
      </c>
      <c r="F12" t="n">
        <v>213.3</v>
      </c>
      <c r="G12" t="n">
        <v>270.6</v>
      </c>
      <c r="H12" t="n">
        <v>971.9</v>
      </c>
      <c r="I12" t="n">
        <v>239.7</v>
      </c>
      <c r="J12" t="n">
        <v>222.9</v>
      </c>
      <c r="K12" t="n">
        <v>242.6</v>
      </c>
      <c r="L12" t="n">
        <v>246.4</v>
      </c>
      <c r="M12" t="n">
        <v>951.6</v>
      </c>
      <c r="N12" t="n">
        <v>167.9</v>
      </c>
      <c r="O12" t="n">
        <v>176</v>
      </c>
      <c r="P12" t="n">
        <v>239.6</v>
      </c>
      <c r="Q12" t="n">
        <v>268.1</v>
      </c>
      <c r="R12" t="n">
        <v>851.6</v>
      </c>
      <c r="S12">
        <f>IF(AND(ISNUMBER(R12),ISNUMBER(M12),M12&lt;&gt;0),(R12-M12)/M12,"-")</f>
        <v/>
      </c>
      <c r="T12" t="n">
        <v>199.6</v>
      </c>
      <c r="U12">
        <f>IF(AND(ISNUMBER(T12),ISNUMBER(N12),N12&lt;&gt;0),(T12-N12)/N12,"-")</f>
        <v/>
      </c>
      <c r="V12" t="n">
        <v>197.4</v>
      </c>
      <c r="W12" t="inlineStr">
        <is>
          <t>-</t>
        </is>
      </c>
      <c r="X12" t="inlineStr">
        <is>
          <t>26Q2 197.4kt；H1 397.0kt(+15%,非洲铜+55/Antamina+27.7)；FY26指引810-870kt维持（未扣Kidd约11kt）</t>
        </is>
      </c>
      <c r="Y12" t="inlineStr">
        <is>
          <t>810-870(维持),H1/H2权重48%/52%</t>
        </is>
      </c>
      <c r="Z12" t="inlineStr">
        <is>
          <t>25Q3/Q4为推算(FY851.6-9M583.5),建议核FY25 PDF第10页;JV按权益(Collahuasi 44%/Antamina 33.75%)</t>
        </is>
      </c>
    </row>
    <row r="13">
      <c r="A13" t="inlineStr">
        <is>
          <t>First Quantum</t>
        </is>
      </c>
      <c r="B13" t="inlineStr">
        <is>
          <t>加拿大</t>
        </is>
      </c>
      <c r="C13" t="inlineStr">
        <is>
          <t>总铜产量(100%合并)</t>
        </is>
      </c>
      <c r="D13" t="n">
        <v>138.75</v>
      </c>
      <c r="E13" t="n">
        <v>187.18</v>
      </c>
      <c r="F13" t="n">
        <v>222</v>
      </c>
      <c r="G13" t="n">
        <v>160</v>
      </c>
      <c r="H13" t="n">
        <v>707.9299999999999</v>
      </c>
      <c r="I13" t="n">
        <v>101</v>
      </c>
      <c r="J13" t="n">
        <v>103</v>
      </c>
      <c r="K13" t="n">
        <v>116</v>
      </c>
      <c r="L13" t="n">
        <v>112</v>
      </c>
      <c r="M13" t="n">
        <v>432</v>
      </c>
      <c r="N13" t="n">
        <v>99.7</v>
      </c>
      <c r="O13" t="inlineStr">
        <is>
          <t>-</t>
        </is>
      </c>
      <c r="P13" t="inlineStr">
        <is>
          <t>-</t>
        </is>
      </c>
      <c r="Q13" t="n">
        <v>100.4</v>
      </c>
      <c r="R13" t="n">
        <v>396</v>
      </c>
      <c r="S13">
        <f>IF(AND(ISNUMBER(R13),ISNUMBER(M13),M13&lt;&gt;0),(R13-M13)/M13,"-")</f>
        <v/>
      </c>
      <c r="T13" t="n">
        <v>96.46899999999999</v>
      </c>
      <c r="U13">
        <f>IF(AND(ISNUMBER(T13),ISNUMBER(N13),N13&lt;&gt;0),(T13-N13)/N13,"-")</f>
        <v/>
      </c>
      <c r="V13" t="n">
        <v>100.487</v>
      </c>
      <c r="W13" t="inlineStr">
        <is>
          <t>-</t>
        </is>
      </c>
      <c r="X13" t="inlineStr">
        <is>
          <t>2Q26：总铜100.5kt(+10.4% YoY)，Sentinel 50.3kt/Kansanshi 44.0kt/Cobre Panamá堆存处理3.2kt；来源：FQ 2Q26 报告(GlobeNewswire 2026-07-28)</t>
        </is>
      </c>
      <c r="Y13" t="inlineStr">
        <is>
          <t>405-475(1月375-435上调)</t>
        </is>
      </c>
      <c r="Z13" t="inlineStr">
        <is>
          <t>2025≈396(-8%);25Q2/Q3未拆分;Q2结果7/28发布</t>
        </is>
      </c>
    </row>
    <row r="14">
      <c r="A14" t="inlineStr">
        <is>
          <t>SouthernCopper</t>
        </is>
      </c>
      <c r="B14" t="inlineStr">
        <is>
          <t>墨西哥/秘鲁</t>
        </is>
      </c>
      <c r="C14" t="inlineStr">
        <is>
          <t>总铜产量(mined tons)</t>
        </is>
      </c>
      <c r="D14" t="n">
        <v>223.57</v>
      </c>
      <c r="E14" t="n">
        <v>228.06</v>
      </c>
      <c r="F14" t="n">
        <v>227.01</v>
      </c>
      <c r="G14" t="n">
        <v>237.92</v>
      </c>
      <c r="H14" t="n">
        <v>916.5599999999999</v>
      </c>
      <c r="I14" t="n">
        <v>240.68</v>
      </c>
      <c r="J14" t="n">
        <v>243.62</v>
      </c>
      <c r="K14" t="n">
        <v>253.44</v>
      </c>
      <c r="L14" t="n">
        <v>239.46</v>
      </c>
      <c r="M14" t="n">
        <v>977.2</v>
      </c>
      <c r="N14" t="n">
        <v>242</v>
      </c>
      <c r="O14" t="n">
        <v>238.98</v>
      </c>
      <c r="P14" t="n">
        <v>233.1</v>
      </c>
      <c r="Q14" t="n">
        <v>242.2</v>
      </c>
      <c r="R14" t="n">
        <v>956.3</v>
      </c>
      <c r="S14">
        <f>IF(AND(ISNUMBER(R14),ISNUMBER(M14),M14&lt;&gt;0),(R14-M14)/M14,"-")</f>
        <v/>
      </c>
      <c r="T14" t="n">
        <v>230.5</v>
      </c>
      <c r="U14">
        <f>IF(AND(ISNUMBER(T14),ISNUMBER(N14),N14&lt;&gt;0),(T14-N14)/N14,"-")</f>
        <v/>
      </c>
      <c r="V14" t="n">
        <v>230.7</v>
      </c>
      <c r="W14">
        <f>IF(AND(ISNUMBER(V14),ISNUMBER(O14),O14&lt;&gt;0),(V14-O14)/O14,"-")</f>
        <v/>
      </c>
      <c r="X14" t="inlineStr">
        <is>
          <t>26Q2 -3.5%:秘鲁两矿品位下降(-12%),墨西哥+3.2%;副产品收入大增使净现金成本降至$0.05/lb;Tia Maria进度42%(2H27投产)</t>
        </is>
      </c>
      <c r="Y14" t="inlineStr">
        <is>
          <t>917(Q2电话会,年内两次上调)</t>
        </is>
      </c>
      <c r="Z14" t="inlineStr">
        <is>
          <t>25Q2/Q3为推算;FY25=956.3(以官方表格为准)</t>
        </is>
      </c>
    </row>
    <row r="15">
      <c r="A15" t="inlineStr">
        <is>
          <t>Anglo American</t>
        </is>
      </c>
      <c r="B15" t="inlineStr">
        <is>
          <t>英国</t>
        </is>
      </c>
      <c r="C15" t="inlineStr">
        <is>
          <t>总铜产量(含金属量)</t>
        </is>
      </c>
      <c r="D15" t="n">
        <v>178.1</v>
      </c>
      <c r="E15" t="n">
        <v>209.1</v>
      </c>
      <c r="F15" t="n">
        <v>213</v>
      </c>
      <c r="G15" t="n">
        <v>228.7</v>
      </c>
      <c r="H15" t="n">
        <v>828.9</v>
      </c>
      <c r="I15" t="n">
        <v>198.1</v>
      </c>
      <c r="J15" t="n">
        <v>195.7</v>
      </c>
      <c r="K15" t="n">
        <v>181.3</v>
      </c>
      <c r="L15" t="n">
        <v>197.5</v>
      </c>
      <c r="M15" t="n">
        <v>772.6</v>
      </c>
      <c r="N15" t="n">
        <v>168.9</v>
      </c>
      <c r="O15" t="n">
        <v>173.3</v>
      </c>
      <c r="P15" t="n">
        <v>183.5</v>
      </c>
      <c r="Q15" t="n">
        <v>169.5</v>
      </c>
      <c r="R15" t="n">
        <v>695.2</v>
      </c>
      <c r="S15">
        <f>IF(AND(ISNUMBER(R15),ISNUMBER(M15),M15&lt;&gt;0),(R15-M15)/M15,"-")</f>
        <v/>
      </c>
      <c r="T15" t="n">
        <v>170.4</v>
      </c>
      <c r="U15">
        <f>IF(AND(ISNUMBER(T15),ISNUMBER(N15),N15&lt;&gt;0),(T15-N15)/N15,"-")</f>
        <v/>
      </c>
      <c r="V15" t="n">
        <v>173.2</v>
      </c>
      <c r="W15">
        <f>IF(AND(ISNUMBER(V15),ISNUMBER(O15),O15&lt;&gt;0),(V15-O15)/O15,"-")</f>
        <v/>
      </c>
      <c r="X15" t="inlineStr">
        <is>
          <t>26Q2持平:Los Bronces +25%(重启第二选厂)被Collahuasi -11%(过渡低品位,年底回Rosario高品位)和Quellaveco -2%抵消</t>
        </is>
      </c>
      <c r="Y15" t="inlineStr">
        <is>
          <t>700-760(维持);单位成本指引下修</t>
        </is>
      </c>
      <c r="Z15" t="inlineStr">
        <is>
          <t>Collahuasi按44%权益,Los Bronces/Quellaveco并表100%;与Teck合并仅剩中国审批;6/24与Codelco签Los Bronces-Andina联合开发(增量270万吨)</t>
        </is>
      </c>
    </row>
    <row r="16">
      <c r="A16" t="inlineStr">
        <is>
          <t>Barrick Mining</t>
        </is>
      </c>
      <c r="B16" t="inlineStr">
        <is>
          <t>加拿大</t>
        </is>
      </c>
      <c r="C16" t="inlineStr">
        <is>
          <t>铜板块（Lumwana 100%+Zaldívar 50%权益+Jabal Sayid 50%权益）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59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>
        <f>IF(AND(ISNUMBER(R16),ISNUMBER(M16),M16&lt;&gt;0),(R16-M16)/M16,"-")</f>
        <v/>
      </c>
      <c r="T16" t="n">
        <v>49</v>
      </c>
      <c r="U16">
        <f>IF(AND(ISNUMBER(T16),ISNUMBER(N16),N16&lt;&gt;0),(T16-N16)/N16,"-")</f>
        <v/>
      </c>
      <c r="V16" t="n">
        <v>56</v>
      </c>
      <c r="W16">
        <f>IF(AND(ISNUMBER(V16),ISNUMBER(O16),O16&lt;&gt;0),(V16-O16)/O16,"-")</f>
        <v/>
      </c>
      <c r="X16" t="inlineStr">
        <is>
          <t>26Q2 铜 56kt（环比+14%/同比-5%，符合计划）；权益口径；FY26 指引 190-220kt 维持。源：Barrick Q2 2026 业绩（2026-08-10 官网）</t>
        </is>
      </c>
      <c r="Z16" t="inlineStr">
        <is>
          <t>黄金为主业，铜为板块口径（可回收磅，1M lbs=0.4536kt）；季报≈季后4-5周；2026-08-18新增骨架行，数据待回填</t>
        </is>
      </c>
    </row>
    <row r="17">
      <c r="A17" t="inlineStr">
        <is>
          <t>Capstone Copper</t>
        </is>
      </c>
      <c r="B17" t="inlineStr">
        <is>
          <t>加拿大</t>
        </is>
      </c>
      <c r="C17" t="inlineStr">
        <is>
          <t>Pinto Valley+Cozamin+Mantoverde(70%)+Mantos Blancos(70%)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>
        <f>IF(AND(ISNUMBER(R17),ISNUMBER(M17),M17&lt;&gt;0),(R17-M17)/M17,"-")</f>
        <v/>
      </c>
      <c r="T17" t="n">
        <v>47.96</v>
      </c>
      <c r="U17">
        <f>IF(AND(ISNUMBER(T17),ISNUMBER(N17),N17&lt;&gt;0),(T17-N17)/N17,"-")</f>
        <v/>
      </c>
      <c r="V17" t="n">
        <v>51.8</v>
      </c>
      <c r="W17">
        <f>IF(AND(ISNUMBER(V17),ISNUMBER(O17),O17&lt;&gt;0),(V17-O17)/O17,"-")</f>
        <v/>
      </c>
      <c r="X17" t="inlineStr">
        <is>
          <t>26Q2 合并铜 51.8kt（Q1 47.96kt，-11% vs 25Q1 53.8kt 系 Mantoverde 罢工）；官方为 100% 合并口径（行标注 70% 权益口径勿混）；C1 $1.97/lb 纪录低位。源：Capstone Q1(4/29)/Q2(7/30) 2026 业绩</t>
        </is>
      </c>
      <c r="Z17" t="inlineStr">
        <is>
          <t>合并口径；季报≈季后4周；2026-08-18新增骨架行，数据待回填</t>
        </is>
      </c>
    </row>
    <row r="18">
      <c r="A18" t="inlineStr">
        <is>
          <t>Sandfire Resources</t>
        </is>
      </c>
      <c r="B18" t="inlineStr">
        <is>
          <t>澳大利亚</t>
        </is>
      </c>
      <c r="C18" t="inlineStr">
        <is>
          <t>MATSA（西班牙,100%）+Motheo（博茨瓦纳）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n">
        <v>29.228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>
        <f>IF(AND(ISNUMBER(R18),ISNUMBER(M18),M18&lt;&gt;0),(R18-M18)/M18,"-")</f>
        <v/>
      </c>
      <c r="T18" t="n">
        <v>22.868</v>
      </c>
      <c r="U18">
        <f>IF(AND(ISNUMBER(T18),ISNUMBER(N18),N18&lt;&gt;0),(T18-N18)/N18,"-")</f>
        <v/>
      </c>
      <c r="V18" t="n">
        <v>34.224</v>
      </c>
      <c r="W18">
        <f>IF(AND(ISNUMBER(V18),ISNUMBER(O18),O18&lt;&gt;0),(V18-O18)/O18,"-")</f>
        <v/>
      </c>
      <c r="X18" t="inlineStr">
        <is>
          <t>26Q2=FY26Q4 铜 34.224kt（环比+50%：MATSA 16.219+Motheo 18.005，Motheo CuEq +65% 恢复）；FY26 铜 105.7kt；财年止 6 月已做日历映射。源：Sandfire 2026 年 6 月季报（7/23 ASX）</t>
        </is>
      </c>
      <c r="Z18" t="inlineStr">
        <is>
          <t>季报≈季后4周（ASX）；2026-08-18新增骨架行，数据待回填</t>
        </is>
      </c>
    </row>
    <row r="19">
      <c r="A19" t="inlineStr">
        <is>
          <t>Ivanhoe Mines</t>
        </is>
      </c>
      <c r="B19" t="inlineStr">
        <is>
          <t>加拿大</t>
        </is>
      </c>
      <c r="C19" t="inlineStr">
        <is>
          <t>Kamoa-Kakula（权益39.6%，官方另披露100%口径）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n">
        <v>44.356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>
        <f>IF(AND(ISNUMBER(R19),ISNUMBER(M19),M19&lt;&gt;0),(R19-M19)/M19,"-")</f>
        <v/>
      </c>
      <c r="T19" t="n">
        <v>24.514</v>
      </c>
      <c r="U19">
        <f>IF(AND(ISNUMBER(T19),ISNUMBER(N19),N19&lt;&gt;0),(T19-N19)/N19,"-")</f>
        <v/>
      </c>
      <c r="V19" t="n">
        <v>25.474</v>
      </c>
      <c r="W19">
        <f>IF(AND(ISNUMBER(V19),ISNUMBER(O19),O19&lt;&gt;0),(V19-O19)/O19,"-")</f>
        <v/>
      </c>
      <c r="X19" t="inlineStr">
        <is>
          <t>Kamoa-Kakula 100% 口径 26Q2=64,328t（阳极/ blister/渣精矿新口径；LCS 停产 56 天）；权益 39.6% 折算 25.47kt。注意：2025 列=精矿含铜旧口径（25Q2 112,009t→44.36kt）、26Q1=61,906t 精矿口径→24.51kt，口径切换不可直接同比。H2 爬产：Kamoa 采矿率+30% 至 8.5Mtpa；FY26 指引 290-330kt（100%）。源：Ivanhoe Q2 2026 产量公告（7/8）</t>
        </is>
      </c>
      <c r="Z19" t="inlineStr">
        <is>
          <t>跨品种修正：已在锌目录（Kipushi锌）；铜=Kamoa-Kakula；产量先行（季后1周）；2026-08-18新增骨架行，数据待回填</t>
        </is>
      </c>
    </row>
    <row r="20">
      <c r="A20" t="inlineStr">
        <is>
          <t>Lundin Mining</t>
        </is>
      </c>
      <c r="B20" t="inlineStr">
        <is>
          <t>加拿大</t>
        </is>
      </c>
      <c r="C20" t="inlineStr">
        <is>
          <t>Caserones(51%)+Chapada+Candelaria(80%)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>
        <f>IF(AND(ISNUMBER(R20),ISNUMBER(M20),M20&lt;&gt;0),(R20-M20)/M20,"-")</f>
        <v/>
      </c>
      <c r="T20" t="inlineStr">
        <is>
          <t>-</t>
        </is>
      </c>
      <c r="U20">
        <f>IF(AND(ISNUMBER(T20),ISNUMBER(N20),N20&lt;&gt;0),(T20-N20)/N20,"-")</f>
        <v/>
      </c>
      <c r="V20" t="n">
        <v>54</v>
      </c>
      <c r="W20">
        <f>IF(AND(ISNUMBER(V20),ISNUMBER(O20),O20&lt;&gt;0),(V20-O20)/O20,"-")</f>
        <v/>
      </c>
      <c r="X20" t="inlineStr">
        <is>
          <t>26Q2 合并（100%）铜 76.877kt；按行口径权益折算≈54.0kt（Caserones 34×51%+Candelaria 31×80%+Chapada ~11.9×100%）。Caserones 下调至指引下半区（天气）。源：Lundin Q2 2026 业绩（8/6）</t>
        </is>
      </c>
      <c r="Z20" t="inlineStr">
        <is>
          <t>跨品种修正：锌目录为占位行（锌资产2025-04-16售予Boliden）；铜为主业；季报≈季后4周；2026-08-18新增骨架行，数据待回填</t>
        </is>
      </c>
    </row>
    <row r="21">
      <c r="A21" t="inlineStr">
        <is>
          <t>Hudbay Minerals</t>
        </is>
      </c>
      <c r="B21" t="inlineStr">
        <is>
          <t>加拿大</t>
        </is>
      </c>
      <c r="C21" t="inlineStr">
        <is>
          <t>Constancia+Copper Mountain+Snow Lake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n">
        <v>29.956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>
        <f>IF(AND(ISNUMBER(R21),ISNUMBER(M21),M21&lt;&gt;0),(R21-M21)/M21,"-")</f>
        <v/>
      </c>
      <c r="T21" t="n">
        <v>27.929</v>
      </c>
      <c r="U21">
        <f>IF(AND(ISNUMBER(T21),ISNUMBER(N21),N21&lt;&gt;0),(T21-N21)/N21,"-")</f>
        <v/>
      </c>
      <c r="V21" t="n">
        <v>28.267</v>
      </c>
      <c r="W21">
        <f>IF(AND(ISNUMBER(V21),ISNUMBER(O21),O21&lt;&gt;0),(V21-O21)/O21,"-")</f>
        <v/>
      </c>
      <c r="X21" t="inlineStr">
        <is>
          <t>26Q2 铜 28.267kt（环比+1.2%：BC 第二台 SAG 达产抵消秘鲁半年检修+港口延误 ~1 万 dmt 精矿延至 7 月）；FY26 指引 110-138kt 重申，现金成本指引下修。源：Hudbay Q2 2026 业绩（7/29）</t>
        </is>
      </c>
      <c r="Z21" t="inlineStr">
        <is>
          <t>跨品种修正：已在锌目录（Manitoba Lalor锌）；铜为主业；季报≈季后3-4周；2026-08-18新增骨架行，数据待回填</t>
        </is>
      </c>
    </row>
    <row r="22">
      <c r="A22" t="inlineStr">
        <is>
          <t>总计</t>
        </is>
      </c>
      <c r="B22" t="inlineStr">
        <is>
          <t>-</t>
        </is>
      </c>
      <c r="C22" t="inlineStr">
        <is>
          <t>口径混杂仅供参考</t>
        </is>
      </c>
      <c r="D22">
        <f>SUM(D2:D21)</f>
        <v/>
      </c>
      <c r="E22">
        <f>SUM(E2:E21)</f>
        <v/>
      </c>
      <c r="F22">
        <f>SUM(F2:F21)</f>
        <v/>
      </c>
      <c r="G22">
        <f>SUM(G2:G21)</f>
        <v/>
      </c>
      <c r="H22">
        <f>SUM(H2:H21)</f>
        <v/>
      </c>
      <c r="I22">
        <f>SUM(I2:I21)</f>
        <v/>
      </c>
      <c r="J22">
        <f>SUM(J2:J21)</f>
        <v/>
      </c>
      <c r="K22">
        <f>SUM(K2:K21)</f>
        <v/>
      </c>
      <c r="L22">
        <f>SUM(L2:L21)</f>
        <v/>
      </c>
      <c r="M22">
        <f>SUM(M2:M21)</f>
        <v/>
      </c>
      <c r="N22">
        <f>SUM(N2:N21)</f>
        <v/>
      </c>
      <c r="O22">
        <f>SUM(O2:O21)</f>
        <v/>
      </c>
      <c r="P22">
        <f>SUM(P2:P21)</f>
        <v/>
      </c>
      <c r="Q22">
        <f>SUM(Q2:Q21)</f>
        <v/>
      </c>
      <c r="R22">
        <f>SUM(R2:R21)</f>
        <v/>
      </c>
      <c r="S22" t="inlineStr">
        <is>
          <t>-</t>
        </is>
      </c>
      <c r="T22">
        <f>SUM(T2:T21)</f>
        <v/>
      </c>
      <c r="U22" t="inlineStr">
        <is>
          <t>-</t>
        </is>
      </c>
      <c r="V22">
        <f>SUM(V2:V21)</f>
        <v/>
      </c>
      <c r="W22" t="inlineStr">
        <is>
          <t>-</t>
        </is>
      </c>
    </row>
    <row r="24">
      <c r="A24" t="inlineStr">
        <is>
          <t>注：单位=kt；历史(2023-2025Q3)以铜财报.xlsx海外铜企跟踪为基准，2025Q4起按各公司官方季报更新（FreePort/Rio/KGHM/Nornickel/SCCO 25Q4已与官方对齐或标注推算）；口径混杂（权益/并表/100%），总计行仅作量级参考。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50" customWidth="1" min="24" max="24"/>
    <col width="24" customWidth="1" min="25" max="25"/>
    <col width="55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紫金矿业</t>
        </is>
      </c>
      <c r="B2" t="inlineStr">
        <is>
          <t>中国</t>
        </is>
      </c>
      <c r="C2" t="inlineStr">
        <is>
          <t>矿产铜(万吨)</t>
        </is>
      </c>
      <c r="D2" t="n">
        <v>24.97</v>
      </c>
      <c r="E2" t="n">
        <v>24.25</v>
      </c>
      <c r="F2" t="n">
        <v>26.2</v>
      </c>
      <c r="G2" t="n">
        <v>25.3</v>
      </c>
      <c r="H2" t="n">
        <v>100.73</v>
      </c>
      <c r="I2" t="n">
        <v>26.26</v>
      </c>
      <c r="J2" t="n">
        <v>25.59</v>
      </c>
      <c r="K2" t="n">
        <v>27.09</v>
      </c>
      <c r="L2" t="n">
        <v>27.9</v>
      </c>
      <c r="M2" t="n">
        <v>106.85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n">
        <v>109</v>
      </c>
      <c r="S2" t="inlineStr">
        <is>
          <t>-</t>
        </is>
      </c>
      <c r="T2" t="n">
        <v>25.9</v>
      </c>
      <c r="U2" t="inlineStr">
        <is>
          <t>-</t>
        </is>
      </c>
      <c r="V2" t="n">
        <v>27.5</v>
      </c>
      <c r="W2" t="inlineStr">
        <is>
          <t>-</t>
        </is>
      </c>
      <c r="X2" t="inlineStr">
        <is>
          <t>中报（8/21）：H1 矿产铜 53.4 万吨（同比-5.7%，剔除卡莫阿影响 +5%）；26Q2=H1−Q1=27.5 万吨（推算，H1 减 Q1 25.9）。卡莫阿全年计划下调至 29-33 万吨。源：紫金矿业 2026 半年报</t>
        </is>
      </c>
      <c r="Y2" t="inlineStr">
        <is>
          <t>2026矿产铜120万吨(+10%);2028目标150-160万吨</t>
        </is>
      </c>
      <c r="Z2" t="inlineStr">
        <is>
          <t>2023=100.73/2024=106.85/2025=109(权益口径,含卡莫阿权益2024=19.5万吨);23Q1/Q4与24Q2为累计差分推算,其余季度为官方经营数据公告;2026/1巨龙二期投产Q1贡献约6万吨(年产30-35万吨/年)</t>
        </is>
      </c>
    </row>
    <row r="3">
      <c r="A3" t="inlineStr">
        <is>
          <t>洛阳钼业</t>
        </is>
      </c>
      <c r="B3" t="inlineStr">
        <is>
          <t>中国</t>
        </is>
      </c>
      <c r="C3" t="inlineStr">
        <is>
          <t>铜(TFM+KFM,万吨)</t>
        </is>
      </c>
      <c r="D3" t="n">
        <v>6.62</v>
      </c>
      <c r="E3" t="n">
        <v>8.98</v>
      </c>
      <c r="F3" t="n">
        <v>11.11</v>
      </c>
      <c r="G3" t="n">
        <v>12.69</v>
      </c>
      <c r="H3" t="n">
        <v>39.4</v>
      </c>
      <c r="I3" t="n">
        <v>14.75</v>
      </c>
      <c r="J3" t="n">
        <v>16.63</v>
      </c>
      <c r="K3" t="n">
        <v>16.22</v>
      </c>
      <c r="L3" t="n">
        <v>17.42</v>
      </c>
      <c r="M3" t="n">
        <v>65.02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n">
        <v>74.11</v>
      </c>
      <c r="S3" t="inlineStr">
        <is>
          <t>-</t>
        </is>
      </c>
      <c r="T3" t="n">
        <v>18.79</v>
      </c>
      <c r="U3" t="inlineStr">
        <is>
          <t>-</t>
        </is>
      </c>
      <c r="V3" t="n">
        <v>20.01</v>
      </c>
      <c r="W3" t="inlineStr">
        <is>
          <t>-</t>
        </is>
      </c>
      <c r="X3" t="inlineStr">
        <is>
          <t>中报（8/19）：H1 铜 38.7961 万吨（+9.73%）；26Q2=H1−Q1=20.01 万吨（推算），单季首破 20 万吨；TFM/KFM 稳定生产。源：洛阳钼业 2026 半年报</t>
        </is>
      </c>
      <c r="Y3" t="inlineStr">
        <is>
          <t>铜76-82万吨;钴10-12万吨</t>
        </is>
      </c>
      <c r="Z3" t="inlineStr">
        <is>
          <t>TFM+KFM口径(不含已售NPM):2023=39.40(TFM28.03+KFM11.37)/2024=65.02/2025=74.11(+14%);23Q4/24Q4为全年差减推算;2024指引52-57万吨实际超上限;可查看年报PDF</t>
        </is>
      </c>
    </row>
    <row r="4">
      <c r="A4" t="inlineStr">
        <is>
          <t>MMG</t>
        </is>
      </c>
      <c r="B4" t="inlineStr">
        <is>
          <t>中国/秘鲁</t>
        </is>
      </c>
      <c r="C4" t="inlineStr">
        <is>
          <t>集团铜合计(万吨,100%基准)</t>
        </is>
      </c>
      <c r="D4" t="n">
        <v>6.83</v>
      </c>
      <c r="E4" t="n">
        <v>9.289999999999999</v>
      </c>
      <c r="F4" t="n">
        <v>9.380000000000001</v>
      </c>
      <c r="G4" t="n">
        <v>9.109999999999999</v>
      </c>
      <c r="H4" t="n">
        <v>34.61</v>
      </c>
      <c r="I4" t="n">
        <v>6.68</v>
      </c>
      <c r="J4" t="n">
        <v>9.06</v>
      </c>
      <c r="K4" t="n">
        <v>11.44</v>
      </c>
      <c r="L4" t="n">
        <v>12.66</v>
      </c>
      <c r="M4" t="n">
        <v>39.85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n">
        <v>50.7</v>
      </c>
      <c r="S4" t="inlineStr">
        <is>
          <t>-</t>
        </is>
      </c>
      <c r="T4" t="n">
        <v>12.87</v>
      </c>
      <c r="U4" t="inlineStr">
        <is>
          <t>-</t>
        </is>
      </c>
      <c r="V4" t="n">
        <v>13.78</v>
      </c>
      <c r="W4" t="inlineStr">
        <is>
          <t>-</t>
        </is>
      </c>
      <c r="X4" t="inlineStr">
        <is>
          <t>26Q2持平:Las Bambas -5%(入选品位0.86%),Kinsevere +24%(硫化矿选厂爬坡+Nambulwa放量);H1 26.65万吨有望达指引上限</t>
        </is>
      </c>
      <c r="Y4" t="inlineStr">
        <is>
          <t>49.3-52.8万吨（Las Bambas 38-40+Kinsevere 6.5-7.5+Khoemacau 4.8-5.3）</t>
        </is>
      </c>
      <c r="Z4" t="inlineStr">
        <is>
          <t>2023=34.61(LB30.20+KIN4.41)/2024=39.85(LB32.29+KIN4.46+KHO3.10自3/23并表)/2025=50.7(+27%:LB41.08+KIN5.28+KHO约4.34);23Q1/Q2为倒算值(官方附录为图片),其余官方季报;Q3报告定10/15,中报8/11</t>
        </is>
      </c>
    </row>
    <row r="5">
      <c r="A5" t="inlineStr">
        <is>
          <t>江西铜业</t>
        </is>
      </c>
      <c r="B5" t="inlineStr">
        <is>
          <t>中国</t>
        </is>
      </c>
      <c r="C5" t="inlineStr">
        <is>
          <t>阴极铜(万吨)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209.73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229.19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n">
        <v>238.04</v>
      </c>
      <c r="S5" t="inlineStr">
        <is>
          <t>-</t>
        </is>
      </c>
      <c r="T5" t="n">
        <v>63.02</v>
      </c>
      <c r="U5" t="inlineStr">
        <is>
          <t>-</t>
        </is>
      </c>
      <c r="V5" t="n">
        <v>63.02</v>
      </c>
      <c r="W5" t="inlineStr">
        <is>
          <t>-</t>
        </is>
      </c>
      <c r="X5" t="inlineStr">
        <is>
          <t>冶炼213万吨满负荷+自产矿增量;TC深度负值挤压加工利润</t>
        </is>
      </c>
      <c r="Y5" t="inlineStr">
        <is>
          <t>2026计划阴极铜239万吨/自产矿20万吨</t>
        </is>
      </c>
      <c r="Z5" t="inlineStr">
        <is>
          <t>阴极铜:2023=209.73/2024=229.19/2025=238.04;仅年报/中报披露(23H1=98.83/24H1=117.50),季度由平台按年度均摊拟合(斜体);自产铜精矿含铜2023=20.20/2024=19.97/2025=26.99万吨(+35%)；2026中报(8/25)：H1阴极铜126.04万吨(+5.44%)，Q1未披露，两季平分拟合；另自产铜精矿含铜13.64万吨(+37.36%)</t>
        </is>
      </c>
    </row>
    <row r="6">
      <c r="A6" t="inlineStr">
        <is>
          <t>铜陵有色</t>
        </is>
      </c>
      <c r="B6" t="inlineStr">
        <is>
          <t>中国</t>
        </is>
      </c>
      <c r="C6" t="inlineStr">
        <is>
          <t>阴极铜(万吨)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175.63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176.8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n">
        <v>195.48</v>
      </c>
      <c r="S6" t="inlineStr">
        <is>
          <t>-</t>
        </is>
      </c>
      <c r="T6" t="inlineStr">
        <is>
          <t>未披露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米拉多并表放量+冶炼满产;2026增量看米拉多二期</t>
        </is>
      </c>
      <c r="Y6" t="inlineStr">
        <is>
          <t>2026计划阴极铜210.8万吨/自产矿22.76万吨</t>
        </is>
      </c>
      <c r="Z6" t="inlineStr">
        <is>
          <t>阴极铜:2023=175.63/2024=176.80/2025=195.48;中报未披露产量明细,季度由平台均摊拟合(斜体);自产铜精矿2023=17.51(米拉多2023/9并表)/2024=15.52/2025=19.77万吨；2026中报(8/28)已核全文：仅财务+产能口径(阴极铜产能220万吨/年)，无产量吨数</t>
        </is>
      </c>
    </row>
    <row r="7">
      <c r="A7" t="inlineStr">
        <is>
          <t>云南铜业</t>
        </is>
      </c>
      <c r="B7" t="inlineStr">
        <is>
          <t>中国</t>
        </is>
      </c>
      <c r="C7" t="inlineStr">
        <is>
          <t>阴极铜(万吨)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138.01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120.6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n">
        <v>164.11</v>
      </c>
      <c r="S7" t="inlineStr">
        <is>
          <t>-</t>
        </is>
      </c>
      <c r="T7" t="n">
        <v>41.825</v>
      </c>
      <c r="U7" t="inlineStr">
        <is>
          <t>-</t>
        </is>
      </c>
      <c r="V7" t="n">
        <v>41.825</v>
      </c>
      <c r="W7" t="inlineStr">
        <is>
          <t>-</t>
        </is>
      </c>
      <c r="X7" t="inlineStr">
        <is>
          <t>2025 +36%创新高:冶炼产能释放;凉山铜业12.5万吨精炼2025/12/31投料试车(2026/3产出)</t>
        </is>
      </c>
      <c r="Y7" t="inlineStr">
        <is>
          <t>2026计划阴极铜171万吨(业绩说明会)</t>
        </is>
      </c>
      <c r="Z7" t="inlineStr">
        <is>
          <t>阴极铜:2023=138.01/2024=120.60(西南铜业搬迁-12.6%)/2025=164.11(+36.1%,产能释放);仅年报/中报披露(23H1=65.87/24H1=50.87),季度平台拟合(斜体);自产铜精矿2023=6.37/2024=5.48/2025=6.94;凉山矿业12.5万吨2025/12/31投产试车(2026/3达产)；2026中报(8/28)：H1阴极铜83.65万吨(合并口径)，Q1未披露，两季平分拟合；另精矿含铜3.37万吨</t>
        </is>
      </c>
    </row>
    <row r="8">
      <c r="A8" t="inlineStr">
        <is>
          <t>总计</t>
        </is>
      </c>
      <c r="B8" t="inlineStr">
        <is>
          <t>-</t>
        </is>
      </c>
      <c r="C8" t="inlineStr">
        <is>
          <t>口径混杂仅供参考</t>
        </is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  <c r="I8">
        <f>SUM(I2:I7)</f>
        <v/>
      </c>
      <c r="J8">
        <f>SUM(J2:J7)</f>
        <v/>
      </c>
      <c r="K8">
        <f>SUM(K2:K7)</f>
        <v/>
      </c>
      <c r="L8">
        <f>SUM(L2:L7)</f>
        <v/>
      </c>
      <c r="M8">
        <f>SUM(M2:M7)</f>
        <v/>
      </c>
      <c r="N8">
        <f>SUM(N2:N7)</f>
        <v/>
      </c>
      <c r="O8">
        <f>SUM(O2:O7)</f>
        <v/>
      </c>
      <c r="P8">
        <f>SUM(P2:P7)</f>
        <v/>
      </c>
      <c r="Q8">
        <f>SUM(Q2:Q7)</f>
        <v/>
      </c>
      <c r="R8">
        <f>SUM(R2:R7)</f>
        <v/>
      </c>
      <c r="S8" t="inlineStr">
        <is>
          <t>-</t>
        </is>
      </c>
      <c r="T8">
        <f>SUM(T2:T7)</f>
        <v/>
      </c>
      <c r="U8" t="inlineStr">
        <is>
          <t>-</t>
        </is>
      </c>
      <c r="V8">
        <f>SUM(V2:V7)</f>
        <v/>
      </c>
      <c r="W8" t="inlineStr">
        <is>
          <t>-</t>
        </is>
      </c>
    </row>
    <row r="10">
      <c r="A10" t="inlineStr">
        <is>
          <t>注：单位=万吨（MMG已折算）；A股多数仅年报/中报披露产量，季报为空；紫金/洛钼季报披露产量。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  <col width="60" customWidth="1" min="3" max="3"/>
  </cols>
  <sheetData>
    <row r="1">
      <c r="A1" s="1" t="inlineStr">
        <is>
          <t>日期</t>
        </is>
      </c>
      <c r="B1" s="1" t="inlineStr">
        <is>
          <t>更新内容</t>
        </is>
      </c>
      <c r="C1" s="1" t="inlineStr">
        <is>
          <t>数据来源</t>
        </is>
      </c>
    </row>
    <row r="2">
      <c r="A2" t="inlineStr">
        <is>
          <t>2026-07-26</t>
        </is>
      </c>
      <c r="B2" t="inlineStr">
        <is>
          <t>首次建立：海外铜企13家季度产量（2023Q1-2026Q2，历史以铜财报.xlsx海外铜企跟踪为基准，25Q4起按官方季报更新：FCX 290.3/300.3/356.5、Rio 240/229/213、Teck 134.1/140/135.9、BHP 491/477/491.9、Vale 108.1/102.3/98.4、Anglo 169.5/170.4/173.2、Antofagasta 177/143/142、SCCO 242.2/230.5/230.7已发26Q2；Glencore/FM待7/28-29，KGHM待8月中，Nornickel待7/27当周）+国内6家（紫金/洛钼/MMG/江铜/铜陵/云铜）</t>
        </is>
      </c>
      <c r="C2" t="inlineStr">
        <is>
          <t>铜财报.xlsx；各公司官网季报/SEC/港交所（2026-07-26调研）；copper-market-outlook-june-2026、global_copper_short-term_outlook为市场参考</t>
        </is>
      </c>
    </row>
    <row r="3">
      <c r="A3" t="inlineStr">
        <is>
          <t>2026-07-27</t>
        </is>
      </c>
      <c r="B3" t="inlineStr">
        <is>
          <t>国内铜企板块回溯补建2023-2024序列:紫金/洛钼/MMG填官方季度值(部分为累计差分推算,见备注),江铜/铜陵/云铜填年度总计(季度平台均摊拟合);修正云铜2025=164.11(原误填2024值120.6);清空25Q4列错位的年度值(年度值在25总计列)</t>
        </is>
      </c>
      <c r="C3" t="inlineStr">
        <is>
          <t>各公司2023/2024年报、季度经营数据公告、MMG季度生产报告(2026-07-27联网交叉核查)</t>
        </is>
      </c>
    </row>
    <row r="4">
      <c r="A4" t="inlineStr">
        <is>
          <t>2026-07-29</t>
        </is>
      </c>
      <c r="B4" t="inlineStr">
        <is>
          <t>Nornickel 26Q2:铜总量104.4kt(本部86.6+外贝加尔17.8),FY26指引维持(本部336-356/外贝加尔69-73kt)</t>
        </is>
      </c>
      <c r="C4" t="inlineStr">
        <is>
          <t>Nornickel官方Q2报告(7/27)</t>
        </is>
      </c>
    </row>
    <row r="5">
      <c r="A5" t="inlineStr">
        <is>
          <t>2026-07-29</t>
        </is>
      </c>
      <c r="B5" t="inlineStr">
        <is>
          <t>指引口径修正：KGHM 改集团口径 700-730kt（原仅本部电解铜 589.4）；MMG 改三矿合计 49.3-52.8 万吨（原仅 Las Bambas 38-40）</t>
        </is>
      </c>
      <c r="C5" t="inlineStr">
        <is>
          <t>KGHM 预算/MMG 2026 指引</t>
        </is>
      </c>
    </row>
    <row r="6">
      <c r="A6" t="inlineStr">
        <is>
          <t>2026-07-29</t>
        </is>
      </c>
      <c r="B6" t="inlineStr">
        <is>
          <t>Glencore 26Q2铜197.4kt(H1 397.0,+15%);FY26指引810-870kt维持</t>
        </is>
      </c>
      <c r="C6" t="inlineStr">
        <is>
          <t>Glencore H1 2026 Production Report</t>
        </is>
      </c>
    </row>
    <row r="7">
      <c r="A7" t="inlineStr">
        <is>
          <t>2026-08-18</t>
        </is>
      </c>
      <c r="B7" t="inlineStr">
        <is>
          <t>新增骨架行6家：Barrick/Capstone/Sandfire（优先新增）+Ivanhoe/Lundin/Hudbay（跨品种修正，原仅锌目录）；数据列占位待回填</t>
        </is>
      </c>
      <c r="C7" t="inlineStr">
        <is>
          <t>审计建议（16家优先新增+8个跨品种归类修正，2026-08-18）</t>
        </is>
      </c>
    </row>
    <row r="8">
      <c r="A8" t="inlineStr">
        <is>
          <t>2026-08-23</t>
        </is>
      </c>
      <c r="B8" t="inlineStr">
        <is>
          <t>First Quantum 26Q1/26Q2 入库：96.5/100.5 kt（欠账补录，披露 7/28）</t>
        </is>
      </c>
      <c r="C8" t="inlineStr">
        <is>
          <t>First Quantum 2Q26 Results (GlobeNewswire/EDGAR)</t>
        </is>
      </c>
    </row>
    <row r="9">
      <c r="A9" t="inlineStr">
        <is>
          <t>2026-08-23</t>
        </is>
      </c>
      <c r="B9" t="inlineStr">
        <is>
          <t>KGHM 铜 26Q2 补录 175kt（H1 351kt +2%，Q2=H1-Q1 推算）</t>
        </is>
      </c>
      <c r="C9" t="inlineStr">
        <is>
          <t>来源：KGHM H1 2026 财报（handoff 已核）</t>
        </is>
      </c>
    </row>
    <row r="10">
      <c r="A10" t="inlineStr">
        <is>
          <t>2026-08-24</t>
        </is>
      </c>
      <c r="B10" t="inlineStr">
        <is>
          <t>铜 26Q2 欠账补录：骨架 6 家（Barrick 56/Capstone 51.8/Sandfire 34.2/Ivanhoe 权益25.5/Lundin 权益~54/Hudbay 28.3 kt）+紫金 27.5/洛钼 20.01 万吨（中报 H1−Q1 推算）</t>
        </is>
      </c>
      <c r="C10" t="inlineStr">
        <is>
          <t>Barrick/Hudbay/Lundin/Ivanhoe/Capstone/Sandfire 官方 Q2 业绩；紫金/洛钼 2026 半年报</t>
        </is>
      </c>
    </row>
    <row r="11">
      <c r="A11" t="inlineStr">
        <is>
          <t>2026-08-31</t>
        </is>
      </c>
      <c r="B11" t="inlineStr">
        <is>
          <t>铜 26Q2 中报回填：江西铜业 H1=126.04→63.02/63.02、云南铜业 H1=83.65→41.825/41.825（平分拟合）；铜陵有色='-'（中报全文已核，无产量吨数）</t>
        </is>
      </c>
      <c r="C11" t="inlineStr">
        <is>
          <t>江铜/云铜/铜陵 2026 中报（巨潮/新浪全文）</t>
        </is>
      </c>
    </row>
    <row r="12">
      <c r="A12" t="inlineStr">
        <is>
          <t>2026-10-14</t>
        </is>
      </c>
      <c r="B12" t="inlineStr">
        <is>
          <t>26Q2复核：铜陵有色——2026中报(8/28)复核确认无阴极铜产量吨数（仅产能220万吨/年+2026计划210.8万吨），维持"-"；集团口径H1阴极铜+16.96%为集团(非上市公司)口径不入库</t>
        </is>
      </c>
      <c r="C12" t="inlineStr">
        <is>
          <t>铜陵有色2026半年度报告全文（新浪财经/巨潮）；国方数据中心8/1（集团口径）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2026-07-27T00:11:20Z</dcterms:created>
  <dcterms:modified xmlns:dcterms="http://purl.org/dc/terms/" xmlns:xsi="http://www.w3.org/2001/XMLSchema-instance" xsi:type="dcterms:W3CDTF">2026-10-14T02:50:15Z</dcterms:modified>
</cp:coreProperties>
</file>